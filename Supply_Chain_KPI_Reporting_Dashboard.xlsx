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f9a3cd14e23aeb3e/Desktop/Portfolio/portfolio ready/Supply Chain/"/>
    </mc:Choice>
  </mc:AlternateContent>
  <xr:revisionPtr revIDLastSave="1633" documentId="11_F25DC773A252ABDACC1048BDC11F63425BDE58E3" xr6:coauthVersionLast="47" xr6:coauthVersionMax="47" xr10:uidLastSave="{7F59C69D-8D5F-4777-9F39-E10A9CDE7763}"/>
  <bookViews>
    <workbookView xWindow="-108" yWindow="-108" windowWidth="23256" windowHeight="12456" xr2:uid="{00000000-000D-0000-FFFF-FFFF00000000}"/>
  </bookViews>
  <sheets>
    <sheet name="Dashboard" sheetId="7" r:id="rId1"/>
    <sheet name="Analysis" sheetId="1" r:id="rId2"/>
    <sheet name="shipping_lead_time" sheetId="2" r:id="rId3"/>
    <sheet name="defect_rate per supplier2" sheetId="5" r:id="rId4"/>
    <sheet name="cost vs profit analysis" sheetId="6" r:id="rId5"/>
    <sheet name="cost vs profit_helper" sheetId="10" r:id="rId6"/>
    <sheet name="risk_tolerance" sheetId="3" r:id="rId7"/>
    <sheet name="profit_vs_risk scenario5" sheetId="4" r:id="rId8"/>
  </sheets>
  <definedNames>
    <definedName name="_xlnm._FilterDatabase" localSheetId="5" hidden="1">'cost vs profit_helper'!$A$1:$C$1</definedName>
    <definedName name="ExternalData_1" localSheetId="6" hidden="1">'risk_tolerance'!$A$1:$D$101</definedName>
    <definedName name="ExternalData_1" localSheetId="2" hidden="1">shipping_lead_time!$A$1:$C$25</definedName>
    <definedName name="ExternalData_2" localSheetId="3" hidden="1">'defect_rate per supplier2'!$A$1:$C$6</definedName>
    <definedName name="ExternalData_2" localSheetId="7" hidden="1">'profit_vs_risk scenario5'!$A$1:$F$101</definedName>
    <definedName name="ExternalData_3" localSheetId="4" hidden="1">'cost vs profit analysis'!$A$1:$C$32</definedName>
    <definedName name="Slicer_action">#N/A</definedName>
    <definedName name="Slicer_Action1">#N/A</definedName>
    <definedName name="Slicer_Category">#N/A</definedName>
  </definedNames>
  <calcPr calcId="191029" iterate="1"/>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J2" i="3"/>
  <c r="K2" i="3"/>
  <c r="L2" i="3"/>
  <c r="M2" i="3"/>
  <c r="L2" i="4"/>
  <c r="E4" i="3" l="1" a="1"/>
  <c r="F4" i="3" s="1"/>
  <c r="E90" i="3" a="1"/>
  <c r="F90" i="3" s="1"/>
  <c r="E73" i="3" a="1"/>
  <c r="F73" i="3" s="1"/>
  <c r="E58" i="3" a="1"/>
  <c r="F58" i="3" s="1"/>
  <c r="E43" i="3" a="1"/>
  <c r="F43" i="3" s="1"/>
  <c r="E10" i="3" a="1"/>
  <c r="F10" i="3" s="1"/>
  <c r="E87" i="3" a="1"/>
  <c r="F87" i="3" s="1"/>
  <c r="E57" i="3" a="1"/>
  <c r="F57" i="3" s="1"/>
  <c r="E42" i="3" a="1"/>
  <c r="F42" i="3" s="1"/>
  <c r="E9" i="3" a="1"/>
  <c r="F9" i="3" s="1"/>
  <c r="E101" i="3" a="1"/>
  <c r="F101" i="3" s="1"/>
  <c r="E86" i="3" a="1"/>
  <c r="F86" i="3" s="1"/>
  <c r="E56" i="3" a="1"/>
  <c r="F56" i="3" s="1"/>
  <c r="E100" i="3" a="1"/>
  <c r="F100" i="3" s="1"/>
  <c r="E70" i="3" a="1"/>
  <c r="F70" i="3" s="1"/>
  <c r="E54" i="3" a="1"/>
  <c r="F54" i="3" s="1"/>
  <c r="E41" i="3" a="1"/>
  <c r="F41" i="3" s="1"/>
  <c r="E25" i="3" a="1"/>
  <c r="F25" i="3" s="1"/>
  <c r="E7" i="3" a="1"/>
  <c r="F7" i="3" s="1"/>
  <c r="E99" i="3" a="1"/>
  <c r="F99" i="3" s="1"/>
  <c r="E83" i="3" a="1"/>
  <c r="F83" i="3" s="1"/>
  <c r="E51" i="3" a="1"/>
  <c r="F51" i="3" s="1"/>
  <c r="E98" i="3" a="1"/>
  <c r="F98" i="3" s="1"/>
  <c r="E82" i="3" a="1"/>
  <c r="F82" i="3" s="1"/>
  <c r="E67" i="3" a="1"/>
  <c r="F67" i="3" s="1"/>
  <c r="E50" i="3" a="1"/>
  <c r="F50" i="3" s="1"/>
  <c r="E37" i="3" a="1"/>
  <c r="F37" i="3" s="1"/>
  <c r="E21" i="3" a="1"/>
  <c r="F21" i="3" s="1"/>
  <c r="E97" i="3" a="1"/>
  <c r="F97" i="3" s="1"/>
  <c r="E81" i="3" a="1"/>
  <c r="F81" i="3" s="1"/>
  <c r="E66" i="3" a="1"/>
  <c r="F66" i="3" s="1"/>
  <c r="E19" i="3" a="1"/>
  <c r="F19" i="3" s="1"/>
  <c r="E80" i="3" a="1"/>
  <c r="F80" i="3" s="1"/>
  <c r="E65" i="3" a="1"/>
  <c r="F65" i="3" s="1"/>
  <c r="E49" i="3" a="1"/>
  <c r="F49" i="3" s="1"/>
  <c r="E35" i="3" a="1"/>
  <c r="F35" i="3" s="1"/>
  <c r="E18" i="3" a="1"/>
  <c r="F18" i="3" s="1"/>
  <c r="E95" i="3" a="1"/>
  <c r="F95" i="3" s="1"/>
  <c r="E78" i="3" a="1"/>
  <c r="F78" i="3" s="1"/>
  <c r="E64" i="3" a="1"/>
  <c r="F64" i="3" s="1"/>
  <c r="E34" i="3" a="1"/>
  <c r="F34" i="3" s="1"/>
  <c r="E92" i="3" a="1"/>
  <c r="F92" i="3" s="1"/>
  <c r="E75" i="3" a="1"/>
  <c r="F75" i="3" s="1"/>
  <c r="E48" i="3" a="1"/>
  <c r="F48" i="3" s="1"/>
  <c r="E33" i="3" a="1"/>
  <c r="F33" i="3" s="1"/>
  <c r="E17" i="3" a="1"/>
  <c r="F17" i="3" s="1"/>
  <c r="E91" i="3" a="1"/>
  <c r="F91" i="3" s="1"/>
  <c r="E74" i="3" a="1"/>
  <c r="F74" i="3" s="1"/>
  <c r="E61" i="3" a="1"/>
  <c r="F61" i="3" s="1"/>
  <c r="E46" i="3" a="1"/>
  <c r="F46" i="3" s="1"/>
  <c r="E32" i="3" a="1"/>
  <c r="F32" i="3" s="1"/>
  <c r="E2" i="3" a="1"/>
  <c r="F2" i="3" s="1"/>
  <c r="E59" i="3" a="1"/>
  <c r="F59" i="3" s="1"/>
  <c r="E45" i="3" a="1"/>
  <c r="F45" i="3" s="1"/>
  <c r="E30" i="3" a="1"/>
  <c r="F30" i="3" s="1"/>
  <c r="E13" i="3" a="1"/>
  <c r="F13" i="3" s="1"/>
  <c r="E27" i="3" a="1"/>
  <c r="F27" i="3" s="1"/>
  <c r="E26" i="3" a="1"/>
  <c r="F26" i="3" s="1"/>
  <c r="E72" i="3" a="1"/>
  <c r="F72" i="3" s="1"/>
  <c r="E8" i="3" a="1"/>
  <c r="F8" i="3" s="1"/>
  <c r="E84" i="3" a="1"/>
  <c r="F84" i="3" s="1"/>
  <c r="E69" i="3" a="1"/>
  <c r="F69" i="3" s="1"/>
  <c r="E22" i="3" a="1"/>
  <c r="F22" i="3" s="1"/>
  <c r="E6" i="3" a="1"/>
  <c r="F6" i="3" s="1"/>
  <c r="E40" i="3" a="1"/>
  <c r="F40" i="3" s="1"/>
  <c r="E24" i="3" a="1"/>
  <c r="F24" i="3" s="1"/>
  <c r="E16" i="3" a="1"/>
  <c r="F16" i="3" s="1"/>
  <c r="E89" i="3" a="1"/>
  <c r="F89" i="3" s="1"/>
  <c r="E79" i="3" a="1"/>
  <c r="F79" i="3" s="1"/>
  <c r="E63" i="3" a="1"/>
  <c r="F63" i="3" s="1"/>
  <c r="E55" i="3" a="1"/>
  <c r="F55" i="3" s="1"/>
  <c r="E39" i="3" a="1"/>
  <c r="F39" i="3" s="1"/>
  <c r="E31" i="3" a="1"/>
  <c r="F31" i="3" s="1"/>
  <c r="E15" i="3" a="1"/>
  <c r="F15" i="3" s="1"/>
  <c r="E96" i="3" a="1"/>
  <c r="F96" i="3" s="1"/>
  <c r="E88" i="3" a="1"/>
  <c r="F88" i="3" s="1"/>
  <c r="E71" i="3" a="1"/>
  <c r="F71" i="3" s="1"/>
  <c r="E62" i="3" a="1"/>
  <c r="F62" i="3" s="1"/>
  <c r="E47" i="3" a="1"/>
  <c r="F47" i="3" s="1"/>
  <c r="E38" i="3" a="1"/>
  <c r="F38" i="3" s="1"/>
  <c r="E23" i="3" a="1"/>
  <c r="F23" i="3" s="1"/>
  <c r="E14" i="3" a="1"/>
  <c r="F14" i="3" s="1"/>
  <c r="E94" i="3" a="1"/>
  <c r="F94" i="3" s="1"/>
  <c r="E77" i="3" a="1"/>
  <c r="F77" i="3" s="1"/>
  <c r="E68" i="3" a="1"/>
  <c r="F68" i="3" s="1"/>
  <c r="E53" i="3" a="1"/>
  <c r="F53" i="3" s="1"/>
  <c r="E44" i="3" a="1"/>
  <c r="F44" i="3" s="1"/>
  <c r="E29" i="3" a="1"/>
  <c r="F29" i="3" s="1"/>
  <c r="E20" i="3" a="1"/>
  <c r="F20" i="3" s="1"/>
  <c r="E5" i="3" a="1"/>
  <c r="F5" i="3" s="1"/>
  <c r="E93" i="3" a="1"/>
  <c r="F93" i="3" s="1"/>
  <c r="E85" i="3" a="1"/>
  <c r="F85" i="3" s="1"/>
  <c r="E76" i="3" a="1"/>
  <c r="F76" i="3" s="1"/>
  <c r="E60" i="3" a="1"/>
  <c r="F60" i="3" s="1"/>
  <c r="E52" i="3" a="1"/>
  <c r="F52" i="3" s="1"/>
  <c r="E36" i="3" a="1"/>
  <c r="F36" i="3" s="1"/>
  <c r="E28" i="3" a="1"/>
  <c r="F28" i="3" s="1"/>
  <c r="E12" i="3" a="1"/>
  <c r="F12" i="3" s="1"/>
  <c r="E3" i="3" a="1"/>
  <c r="F3" i="3" s="1"/>
  <c r="E11" i="3" a="1"/>
  <c r="F1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A4964-76FE-4113-90F3-DFC1D0F2E13A}" keepAlive="1" name="Query - cost vs profit analysis" description="Connection to the 'cost vs profit analysis' query in the workbook." type="5" refreshedVersion="8" background="1" saveData="1">
    <dbPr connection="Provider=Microsoft.Mashup.OleDb.1;Data Source=$Workbook$;Location=&quot;cost vs profit analysis&quot;;Extended Properties=&quot;&quot;" command="SELECT * FROM [cost vs profit analysis]"/>
  </connection>
  <connection id="2" xr16:uid="{E606C422-9951-4162-9CC1-794B73726F2F}" keepAlive="1" name="Query - cost vs profit analysis (2)" description="Connection to the 'cost vs profit analysis (2)' query in the workbook." type="5" refreshedVersion="8" background="1" saveData="1">
    <dbPr connection="Provider=Microsoft.Mashup.OleDb.1;Data Source=$Workbook$;Location=&quot;cost vs profit analysis (2)&quot;;Extended Properties=&quot;&quot;" command="SELECT * FROM [cost vs profit analysis (2)]"/>
  </connection>
  <connection id="3" xr16:uid="{BDED759F-2D83-4090-AEDF-6EE7B1E10F83}" keepAlive="1" name="Query - defect_rate per supplier2" description="Connection to the 'defect_rate per supplier2' query in the workbook." type="5" refreshedVersion="8" background="1" saveData="1">
    <dbPr connection="Provider=Microsoft.Mashup.OleDb.1;Data Source=$Workbook$;Location=&quot;defect_rate per supplier2&quot;;Extended Properties=&quot;&quot;" command="SELECT * FROM [defect_rate per supplier2]"/>
  </connection>
  <connection id="4" xr16:uid="{B8DD595A-B0F6-4008-BEE4-17C2C2F45C1B}" keepAlive="1" name="Query - profit_vs_risk scenario5" description="Connection to the 'profit_vs_risk scenario5' query in the workbook." type="5" refreshedVersion="8" background="1" saveData="1">
    <dbPr connection="Provider=Microsoft.Mashup.OleDb.1;Data Source=$Workbook$;Location=&quot;profit_vs_risk scenario5&quot;;Extended Properties=&quot;&quot;" command="SELECT * FROM [profit_vs_risk scenario5]"/>
  </connection>
  <connection id="5" xr16:uid="{10A51AF4-5BCE-4E0B-A621-4E901ADF0DBB}" keepAlive="1" name="Query - profit_vs_risk scenario5 (2)" description="Connection to the 'profit_vs_risk scenario5 (2)' query in the workbook." type="5" refreshedVersion="8" background="1" saveData="1">
    <dbPr connection="Provider=Microsoft.Mashup.OleDb.1;Data Source=$Workbook$;Location=&quot;profit_vs_risk scenario5 (2)&quot;;Extended Properties=&quot;&quot;" command="SELECT * FROM [profit_vs_risk scenario5 (2)]"/>
  </connection>
  <connection id="6" xr16:uid="{BFEB885D-D399-4C04-9C36-AC36C9B1F550}" keepAlive="1" name="Query - risk_tolerance" description="Connection to the 'risk_tolerance' query in the workbook." type="5" refreshedVersion="8" background="1" saveData="1">
    <dbPr connection="Provider=Microsoft.Mashup.OleDb.1;Data Source=$Workbook$;Location=risk_tolerance;Extended Properties=&quot;&quot;" command="SELECT * FROM [risk_tolerance]"/>
  </connection>
  <connection id="7" xr16:uid="{7E4A3AA4-31C2-4380-8723-5940B3DFB7ED}" keepAlive="1" name="Query - shipping_lead_time" description="Connection to the 'shipping_lead_time' query in the workbook." type="5" refreshedVersion="8" background="1" saveData="1">
    <dbPr connection="Provider=Microsoft.Mashup.OleDb.1;Data Source=$Workbook$;Location=shipping_lead_time;Extended Properties=&quot;&quot;" command="SELECT * FROM [shipping_lead_tim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<sst xmlns="http://schemas.openxmlformats.org/spreadsheetml/2006/main" count="735" uniqueCount="166">
  <si>
    <t>sku</t>
  </si>
  <si>
    <t>shipping_time</t>
  </si>
  <si>
    <t>shipping_lead_time</t>
  </si>
  <si>
    <t>SKU1</t>
  </si>
  <si>
    <t>SKU5</t>
  </si>
  <si>
    <t>SKU7</t>
  </si>
  <si>
    <t>SKU9</t>
  </si>
  <si>
    <t>SKU11</t>
  </si>
  <si>
    <t>SKU12</t>
  </si>
  <si>
    <t>SKU14</t>
  </si>
  <si>
    <t>SKU26</t>
  </si>
  <si>
    <t>SKU31</t>
  </si>
  <si>
    <t>SKU36</t>
  </si>
  <si>
    <t>SKU39</t>
  </si>
  <si>
    <t>SKU42</t>
  </si>
  <si>
    <t>SKU48</t>
  </si>
  <si>
    <t>SKU53</t>
  </si>
  <si>
    <t>SKU54</t>
  </si>
  <si>
    <t>SKU56</t>
  </si>
  <si>
    <t>SKU57</t>
  </si>
  <si>
    <t>SKU63</t>
  </si>
  <si>
    <t>SKU73</t>
  </si>
  <si>
    <t>SKU77</t>
  </si>
  <si>
    <t>SKU79</t>
  </si>
  <si>
    <t>SKU82</t>
  </si>
  <si>
    <t>SKU85</t>
  </si>
  <si>
    <t>SKU93</t>
  </si>
  <si>
    <t>total_profit</t>
  </si>
  <si>
    <t>risk_score</t>
  </si>
  <si>
    <t>risk_tolerance</t>
  </si>
  <si>
    <t>SKU0</t>
  </si>
  <si>
    <t>High Profit - Low Risk</t>
  </si>
  <si>
    <t>High Profit - High Risk</t>
  </si>
  <si>
    <t>SKU2</t>
  </si>
  <si>
    <t>SKU3</t>
  </si>
  <si>
    <t>SKU4</t>
  </si>
  <si>
    <t>SKU6</t>
  </si>
  <si>
    <t>SKU8</t>
  </si>
  <si>
    <t>SKU10</t>
  </si>
  <si>
    <t>SKU13</t>
  </si>
  <si>
    <t>SKU15</t>
  </si>
  <si>
    <t>SKU16</t>
  </si>
  <si>
    <t>SKU17</t>
  </si>
  <si>
    <t>SKU18</t>
  </si>
  <si>
    <t>SKU19</t>
  </si>
  <si>
    <t>SKU20</t>
  </si>
  <si>
    <t>SKU21</t>
  </si>
  <si>
    <t>SKU22</t>
  </si>
  <si>
    <t>SKU23</t>
  </si>
  <si>
    <t>SKU24</t>
  </si>
  <si>
    <t>SKU25</t>
  </si>
  <si>
    <t>SKU27</t>
  </si>
  <si>
    <t>SKU28</t>
  </si>
  <si>
    <t>SKU29</t>
  </si>
  <si>
    <t>SKU30</t>
  </si>
  <si>
    <t>SKU32</t>
  </si>
  <si>
    <t>SKU33</t>
  </si>
  <si>
    <t>SKU34</t>
  </si>
  <si>
    <t>SKU35</t>
  </si>
  <si>
    <t>SKU37</t>
  </si>
  <si>
    <t>SKU38</t>
  </si>
  <si>
    <t>SKU40</t>
  </si>
  <si>
    <t>SKU41</t>
  </si>
  <si>
    <t>SKU43</t>
  </si>
  <si>
    <t>SKU44</t>
  </si>
  <si>
    <t>SKU45</t>
  </si>
  <si>
    <t>SKU46</t>
  </si>
  <si>
    <t>SKU47</t>
  </si>
  <si>
    <t>SKU49</t>
  </si>
  <si>
    <t>SKU50</t>
  </si>
  <si>
    <t>SKU51</t>
  </si>
  <si>
    <t>SKU52</t>
  </si>
  <si>
    <t>SKU55</t>
  </si>
  <si>
    <t>SKU58</t>
  </si>
  <si>
    <t>SKU59</t>
  </si>
  <si>
    <t>SKU60</t>
  </si>
  <si>
    <t>SKU61</t>
  </si>
  <si>
    <t>SKU62</t>
  </si>
  <si>
    <t>SKU64</t>
  </si>
  <si>
    <t>SKU65</t>
  </si>
  <si>
    <t>SKU66</t>
  </si>
  <si>
    <t>SKU67</t>
  </si>
  <si>
    <t>SKU68</t>
  </si>
  <si>
    <t>SKU69</t>
  </si>
  <si>
    <t>SKU70</t>
  </si>
  <si>
    <t>SKU71</t>
  </si>
  <si>
    <t>SKU72</t>
  </si>
  <si>
    <t>SKU74</t>
  </si>
  <si>
    <t>SKU75</t>
  </si>
  <si>
    <t>SKU76</t>
  </si>
  <si>
    <t>SKU78</t>
  </si>
  <si>
    <t>SKU80</t>
  </si>
  <si>
    <t>SKU81</t>
  </si>
  <si>
    <t>SKU83</t>
  </si>
  <si>
    <t>SKU84</t>
  </si>
  <si>
    <t>SKU86</t>
  </si>
  <si>
    <t>SKU87</t>
  </si>
  <si>
    <t>SKU88</t>
  </si>
  <si>
    <t>SKU89</t>
  </si>
  <si>
    <t>SKU90</t>
  </si>
  <si>
    <t>SKU91</t>
  </si>
  <si>
    <t>SKU92</t>
  </si>
  <si>
    <t>SKU94</t>
  </si>
  <si>
    <t>SKU95</t>
  </si>
  <si>
    <t>SKU96</t>
  </si>
  <si>
    <t>SKU97</t>
  </si>
  <si>
    <t>SKU98</t>
  </si>
  <si>
    <t>SKU99</t>
  </si>
  <si>
    <t>profit</t>
  </si>
  <si>
    <t>Category</t>
  </si>
  <si>
    <t>priority_score</t>
  </si>
  <si>
    <t>Rank_score</t>
  </si>
  <si>
    <t>supplier_name</t>
  </si>
  <si>
    <t>avg_defect_rate</t>
  </si>
  <si>
    <t>sku_count</t>
  </si>
  <si>
    <t>Supplier 5</t>
  </si>
  <si>
    <t>Supplier 3</t>
  </si>
  <si>
    <t>Supplier 2</t>
  </si>
  <si>
    <t>Supplier 4</t>
  </si>
  <si>
    <t>Supplier 1</t>
  </si>
  <si>
    <t>cost</t>
  </si>
  <si>
    <t>Grand Total</t>
  </si>
  <si>
    <t xml:space="preserve">SKU </t>
  </si>
  <si>
    <t>Shipping Lead Time</t>
  </si>
  <si>
    <t>Supplier Name</t>
  </si>
  <si>
    <t xml:space="preserve">cost </t>
  </si>
  <si>
    <t xml:space="preserve">profit </t>
  </si>
  <si>
    <t>Cost Vs Profit</t>
  </si>
  <si>
    <t>Risk Tolerance</t>
  </si>
  <si>
    <t>Profit Vs Risk_Scenario</t>
  </si>
  <si>
    <t>quadrant</t>
  </si>
  <si>
    <t>action</t>
  </si>
  <si>
    <t>Scale</t>
  </si>
  <si>
    <t>Monitor</t>
  </si>
  <si>
    <t>Low Profit - Low Risk</t>
  </si>
  <si>
    <t>Optimize</t>
  </si>
  <si>
    <t>Low Profit - High Risk</t>
  </si>
  <si>
    <t>Drop</t>
  </si>
  <si>
    <t>SKU Count</t>
  </si>
  <si>
    <t>Total Profit</t>
  </si>
  <si>
    <t>Profit by Action</t>
  </si>
  <si>
    <t>Quadrant performance</t>
  </si>
  <si>
    <t>SLICERS</t>
  </si>
  <si>
    <t>AVG TOTAL_PROFIT</t>
  </si>
  <si>
    <t>AVG RISK SCORE</t>
  </si>
  <si>
    <t>TOTAL PROFIT</t>
  </si>
  <si>
    <t>SKU COUNT</t>
  </si>
  <si>
    <t>AVG PRIORITY SCORE</t>
  </si>
  <si>
    <t>SUPPLY CHAIN DASHBOARD</t>
  </si>
  <si>
    <t>Action</t>
  </si>
  <si>
    <t>Drop Total</t>
  </si>
  <si>
    <t>Monitor Total</t>
  </si>
  <si>
    <t>Optimize Total</t>
  </si>
  <si>
    <t>Scale Total</t>
  </si>
  <si>
    <t>High Profit - High Risk Total</t>
  </si>
  <si>
    <t>High Profit - Low Risk Total</t>
  </si>
  <si>
    <t xml:space="preserve">Profit </t>
  </si>
  <si>
    <t>Summary</t>
  </si>
  <si>
    <t xml:space="preserve">Supplier Name </t>
  </si>
  <si>
    <t xml:space="preserve">AVG Defect Rate </t>
  </si>
  <si>
    <t xml:space="preserve"> Sku Count</t>
  </si>
  <si>
    <t>Average of Shipping Time</t>
  </si>
  <si>
    <t>Average of shipping Lead Time</t>
  </si>
  <si>
    <t xml:space="preserve">Risk Score </t>
  </si>
  <si>
    <t xml:space="preserve">Profit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</si>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</sst>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gt;=1000000]&quot;₱ &quot;\ 0.00,,&quot;M&quot;;[&gt;=1000]&quot;₱ &quot;\ 0.00,&quot;K&quot;;&quot;₱ &quot;\ 0"/>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4"/>
      <color rgb="FFFFFFFF"/>
      <name val="Calibri"/>
      <family val="2"/>
      <scheme val="minor"/>
    </font>
    <font>
      <b/>
      <sz val="11"/>
      <color rgb="FFFFFFFF"/>
      <name val="Calibri"/>
      <family val="2"/>
      <scheme val="minor"/>
    </font>
    <font>
      <b/>
      <sz val="10"/>
      <color theme="0"/>
      <name val="Calibri"/>
      <family val="2"/>
      <scheme val="minor"/>
    </font>
    <font>
      <sz val="10"/>
      <color theme="0"/>
      <name val="Calibri"/>
      <family val="2"/>
      <scheme val="minor"/>
    </font>
  </fonts>
  <fills count="8">
    <fill>
      <patternFill patternType="none"/>
    </fill>
    <fill>
      <patternFill patternType="gray125"/>
    </fill>
    <fill>
      <patternFill patternType="solid">
        <fgColor theme="5"/>
        <bgColor theme="5"/>
      </patternFill>
    </fill>
    <fill>
      <patternFill patternType="solid">
        <fgColor rgb="FF1F2D33"/>
        <bgColor indexed="64"/>
      </patternFill>
    </fill>
    <fill>
      <patternFill patternType="solid">
        <fgColor rgb="FF17C3B2"/>
        <bgColor indexed="64"/>
      </patternFill>
    </fill>
    <fill>
      <patternFill patternType="solid">
        <fgColor theme="0" tint="-0.14999847407452621"/>
        <bgColor indexed="64"/>
      </patternFill>
    </fill>
    <fill>
      <patternFill patternType="solid">
        <fgColor rgb="FF24343B"/>
        <bgColor indexed="64"/>
      </patternFill>
    </fill>
    <fill>
      <patternFill patternType="solid">
        <fgColor rgb="FF24343B"/>
        <bgColor rgb="FF1F2D33"/>
      </patternFill>
    </fill>
  </fills>
  <borders count="32">
    <border>
      <left/>
      <right/>
      <top/>
      <bottom/>
      <diagonal/>
    </border>
    <border>
      <left style="thin">
        <color theme="5"/>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style="thin">
        <color indexed="64"/>
      </left>
      <right/>
      <top/>
      <bottom/>
      <diagonal/>
    </border>
    <border>
      <left/>
      <right style="thin">
        <color theme="5"/>
      </right>
      <top/>
      <bottom/>
      <diagonal/>
    </border>
    <border>
      <left style="thin">
        <color theme="5"/>
      </left>
      <right/>
      <top/>
      <bottom/>
      <diagonal/>
    </border>
    <border>
      <left style="thin">
        <color indexed="64"/>
      </left>
      <right style="thin">
        <color theme="5"/>
      </right>
      <top style="thin">
        <color indexed="64"/>
      </top>
      <bottom/>
      <diagonal/>
    </border>
    <border>
      <left style="thin">
        <color theme="5"/>
      </left>
      <right style="thin">
        <color theme="5"/>
      </right>
      <top/>
      <bottom/>
      <diagonal/>
    </border>
    <border>
      <left style="thin">
        <color theme="5"/>
      </left>
      <right/>
      <top/>
      <bottom style="thin">
        <color theme="5"/>
      </bottom>
      <diagonal/>
    </border>
    <border>
      <left/>
      <right style="thin">
        <color theme="5"/>
      </right>
      <top/>
      <bottom style="thin">
        <color theme="5"/>
      </bottom>
      <diagonal/>
    </border>
    <border>
      <left/>
      <right style="thin">
        <color theme="5"/>
      </right>
      <top style="thin">
        <color indexed="64"/>
      </top>
      <bottom/>
      <diagonal/>
    </border>
    <border>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style="thin">
        <color theme="5"/>
      </top>
      <bottom style="thin">
        <color theme="5"/>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
      <left/>
      <right/>
      <top style="thin">
        <color rgb="FFFFFFFF"/>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2">
    <xf numFmtId="0" fontId="0" fillId="0" borderId="0"/>
    <xf numFmtId="43" fontId="1" fillId="0" borderId="0" applyFont="0" applyFill="0" applyBorder="0" applyAlignment="0" applyProtection="0"/>
  </cellStyleXfs>
  <cellXfs count="65">
    <xf numFmtId="0" fontId="0" fillId="0" borderId="0" xfId="0"/>
    <xf numFmtId="0" fontId="2" fillId="2" borderId="1" xfId="0" applyFont="1" applyFill="1" applyBorder="1"/>
    <xf numFmtId="0" fontId="2" fillId="2" borderId="2" xfId="0" applyFont="1" applyFill="1" applyBorder="1"/>
    <xf numFmtId="0" fontId="0" fillId="0" borderId="4" xfId="0" applyBorder="1"/>
    <xf numFmtId="0" fontId="0" fillId="0" borderId="0" xfId="0" pivotButton="1"/>
    <xf numFmtId="0" fontId="0" fillId="0" borderId="0" xfId="0" applyAlignment="1">
      <alignment horizontal="left"/>
    </xf>
    <xf numFmtId="0" fontId="0" fillId="0" borderId="5" xfId="0" applyBorder="1"/>
    <xf numFmtId="43" fontId="0" fillId="0" borderId="0" xfId="1" applyFont="1"/>
    <xf numFmtId="0" fontId="2" fillId="2" borderId="8" xfId="0" applyFont="1" applyFill="1" applyBorder="1"/>
    <xf numFmtId="0" fontId="0" fillId="0" borderId="9" xfId="0" applyBorder="1"/>
    <xf numFmtId="0" fontId="0" fillId="0" borderId="7" xfId="0" applyBorder="1"/>
    <xf numFmtId="0" fontId="0" fillId="0" borderId="6" xfId="0" applyBorder="1"/>
    <xf numFmtId="0" fontId="0" fillId="0" borderId="10" xfId="0" applyBorder="1"/>
    <xf numFmtId="0" fontId="0" fillId="0" borderId="11" xfId="0" applyBorder="1"/>
    <xf numFmtId="0" fontId="2" fillId="2" borderId="12" xfId="0" applyFont="1" applyFill="1" applyBorder="1"/>
    <xf numFmtId="0" fontId="0" fillId="0" borderId="13" xfId="0" applyBorder="1"/>
    <xf numFmtId="0" fontId="2" fillId="2" borderId="0" xfId="0" applyFont="1" applyFill="1"/>
    <xf numFmtId="164" fontId="0" fillId="0" borderId="7" xfId="1" applyNumberFormat="1" applyFont="1" applyBorder="1"/>
    <xf numFmtId="165" fontId="0" fillId="0" borderId="14" xfId="0" applyNumberFormat="1" applyBorder="1"/>
    <xf numFmtId="165" fontId="0" fillId="0" borderId="3" xfId="1" applyNumberFormat="1" applyFont="1" applyBorder="1"/>
    <xf numFmtId="0" fontId="0" fillId="5" borderId="0" xfId="0" applyFill="1"/>
    <xf numFmtId="0" fontId="0" fillId="3" borderId="0" xfId="0" applyFill="1"/>
    <xf numFmtId="0" fontId="0" fillId="0" borderId="1" xfId="0" applyBorder="1"/>
    <xf numFmtId="0" fontId="0" fillId="0" borderId="3" xfId="0" applyBorder="1"/>
    <xf numFmtId="43" fontId="0" fillId="0" borderId="0" xfId="0" applyNumberFormat="1"/>
    <xf numFmtId="43" fontId="2" fillId="2" borderId="15" xfId="1" applyFont="1" applyFill="1" applyBorder="1"/>
    <xf numFmtId="43" fontId="2" fillId="2" borderId="2" xfId="1" applyFont="1" applyFill="1" applyBorder="1"/>
    <xf numFmtId="43" fontId="0" fillId="0" borderId="15" xfId="1" applyFont="1" applyBorder="1"/>
    <xf numFmtId="43" fontId="0" fillId="0" borderId="2" xfId="1" applyFont="1" applyBorder="1"/>
    <xf numFmtId="43" fontId="0" fillId="0" borderId="16" xfId="1" applyFont="1" applyBorder="1"/>
    <xf numFmtId="43" fontId="0" fillId="0" borderId="4" xfId="1" applyFont="1" applyBorder="1"/>
    <xf numFmtId="0" fontId="0" fillId="3" borderId="19" xfId="0" applyFill="1" applyBorder="1"/>
    <xf numFmtId="0" fontId="0" fillId="3" borderId="20" xfId="0" applyFill="1" applyBorder="1"/>
    <xf numFmtId="0" fontId="0" fillId="3" borderId="22" xfId="0" applyFill="1" applyBorder="1"/>
    <xf numFmtId="0" fontId="0" fillId="3" borderId="24" xfId="0" applyFill="1" applyBorder="1"/>
    <xf numFmtId="0" fontId="3" fillId="4" borderId="17" xfId="0" applyFont="1" applyFill="1" applyBorder="1" applyAlignment="1">
      <alignment horizontal="left" vertical="center"/>
    </xf>
    <xf numFmtId="0" fontId="0" fillId="4" borderId="23" xfId="0" applyFill="1" applyBorder="1"/>
    <xf numFmtId="0" fontId="0" fillId="4" borderId="18" xfId="0" applyFill="1" applyBorder="1"/>
    <xf numFmtId="0" fontId="0" fillId="0" borderId="21" xfId="0" applyBorder="1"/>
    <xf numFmtId="0" fontId="0" fillId="0" borderId="24" xfId="0" applyBorder="1"/>
    <xf numFmtId="0" fontId="0" fillId="0" borderId="22" xfId="0" applyBorder="1"/>
    <xf numFmtId="43" fontId="6" fillId="6" borderId="20" xfId="0" applyNumberFormat="1" applyFont="1" applyFill="1" applyBorder="1"/>
    <xf numFmtId="43" fontId="0" fillId="7" borderId="20" xfId="0" applyNumberFormat="1" applyFill="1" applyBorder="1"/>
    <xf numFmtId="43" fontId="0" fillId="7" borderId="22" xfId="0" applyNumberFormat="1" applyFill="1" applyBorder="1"/>
    <xf numFmtId="43" fontId="6" fillId="6" borderId="17" xfId="0" applyNumberFormat="1" applyFont="1" applyFill="1" applyBorder="1"/>
    <xf numFmtId="43" fontId="6" fillId="6" borderId="18" xfId="0" applyNumberFormat="1" applyFont="1" applyFill="1" applyBorder="1"/>
    <xf numFmtId="43" fontId="6" fillId="6" borderId="19" xfId="0" applyNumberFormat="1" applyFont="1" applyFill="1" applyBorder="1"/>
    <xf numFmtId="43" fontId="0" fillId="7" borderId="19" xfId="0" applyNumberFormat="1" applyFill="1" applyBorder="1"/>
    <xf numFmtId="43" fontId="0" fillId="7" borderId="21" xfId="0" applyNumberFormat="1" applyFill="1" applyBorder="1"/>
    <xf numFmtId="0" fontId="2" fillId="4" borderId="25" xfId="0" applyFont="1" applyFill="1" applyBorder="1"/>
    <xf numFmtId="0" fontId="5" fillId="6" borderId="26" xfId="0" applyFont="1" applyFill="1" applyBorder="1"/>
    <xf numFmtId="0" fontId="5" fillId="6" borderId="27" xfId="0" applyFont="1" applyFill="1" applyBorder="1"/>
    <xf numFmtId="0" fontId="0" fillId="7" borderId="28" xfId="0" applyFill="1" applyBorder="1"/>
    <xf numFmtId="0" fontId="0" fillId="7" borderId="29" xfId="0" applyFill="1" applyBorder="1"/>
    <xf numFmtId="0" fontId="0" fillId="7" borderId="30" xfId="0" applyFill="1" applyBorder="1"/>
    <xf numFmtId="0" fontId="0" fillId="7" borderId="31" xfId="0" applyFill="1" applyBorder="1"/>
    <xf numFmtId="0" fontId="6" fillId="6" borderId="26" xfId="0" applyFont="1" applyFill="1" applyBorder="1"/>
    <xf numFmtId="0" fontId="6" fillId="6" borderId="27" xfId="0" applyFont="1" applyFill="1" applyBorder="1"/>
    <xf numFmtId="0" fontId="6" fillId="6" borderId="28" xfId="0" applyFont="1" applyFill="1" applyBorder="1"/>
    <xf numFmtId="0" fontId="6" fillId="6" borderId="29" xfId="0" applyFont="1" applyFill="1" applyBorder="1"/>
    <xf numFmtId="0" fontId="6" fillId="6" borderId="31" xfId="0" applyFont="1" applyFill="1" applyBorder="1"/>
    <xf numFmtId="0" fontId="2" fillId="4" borderId="29" xfId="0" applyFont="1" applyFill="1" applyBorder="1"/>
    <xf numFmtId="0" fontId="2" fillId="4" borderId="31" xfId="0" applyFont="1" applyFill="1" applyBorder="1"/>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cellXfs>
  <cellStyles count="2">
    <cellStyle name="Comma" xfId="1" builtinId="3"/>
    <cellStyle name="Normal" xfId="0" builtinId="0"/>
  </cellStyles>
  <dxfs count="138">
    <dxf>
      <numFmt numFmtId="0" formatCode="General"/>
      <fill>
        <patternFill patternType="solid">
          <fgColor indexed="64"/>
          <bgColor theme="0" tint="-0.149998474074526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 #,##0.00_-;_-* &quot;-&quot;??_-;_-@_-"/>
    </dxf>
    <dxf>
      <font>
        <b val="0"/>
      </font>
    </dxf>
    <dxf>
      <numFmt numFmtId="35" formatCode="_-* #,##0.00_-;\-* #,##0.00_-;_-* &quot;-&quot;??_-;_-@_-"/>
    </dxf>
    <dxf>
      <numFmt numFmtId="35" formatCode="_-* #,##0.00_-;\-* #,##0.00_-;_-* &quot;-&quot;??_-;_-@_-"/>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border>
        <left style="thin">
          <color rgb="FFFFFFFF"/>
        </left>
        <right style="thin">
          <color rgb="FFFFFFFF"/>
        </right>
        <top style="thin">
          <color rgb="FFFFFFFF"/>
        </top>
        <bottom style="thin">
          <color rgb="FFFFFFFF"/>
        </bottom>
      </border>
    </dxf>
    <dxf>
      <font>
        <b val="0"/>
        <i val="0"/>
        <strike val="0"/>
        <condense val="0"/>
        <extend val="0"/>
        <outline val="0"/>
        <shadow val="0"/>
        <u val="none"/>
        <vertAlign val="baseline"/>
        <sz val="11"/>
        <color theme="1"/>
        <name val="Calibri"/>
        <family val="2"/>
        <scheme val="minor"/>
      </font>
      <fill>
        <patternFill>
          <fgColor rgb="FF1F2D33"/>
        </patternFill>
      </fill>
    </dxf>
    <dxf>
      <font>
        <b val="0"/>
        <i val="0"/>
        <strike val="0"/>
        <condense val="0"/>
        <extend val="0"/>
        <outline val="0"/>
        <shadow val="0"/>
        <u val="none"/>
        <vertAlign val="baseline"/>
        <sz val="11"/>
        <color theme="1"/>
        <name val="Calibri"/>
        <family val="2"/>
        <scheme val="minor"/>
      </font>
      <fill>
        <patternFill>
          <fgColor rgb="FF1F2D33"/>
        </patternFill>
      </fill>
    </dxf>
    <dxf>
      <font>
        <b val="0"/>
        <i val="0"/>
        <strike val="0"/>
        <condense val="0"/>
        <extend val="0"/>
        <outline val="0"/>
        <shadow val="0"/>
        <u val="none"/>
        <vertAlign val="baseline"/>
        <sz val="11"/>
        <color theme="1"/>
        <name val="Calibri"/>
        <family val="2"/>
        <scheme val="minor"/>
      </font>
      <fill>
        <patternFill>
          <fgColor rgb="FF1F2D33"/>
        </patternFill>
      </fill>
    </dxf>
    <dxf>
      <font>
        <b val="0"/>
        <i val="0"/>
        <strike val="0"/>
        <condense val="0"/>
        <extend val="0"/>
        <outline val="0"/>
        <shadow val="0"/>
        <u val="none"/>
        <vertAlign val="baseline"/>
        <sz val="11"/>
        <color theme="1"/>
        <name val="Calibri"/>
        <family val="2"/>
        <scheme val="minor"/>
      </font>
      <fill>
        <patternFill>
          <fgColor rgb="FF1F2D33"/>
        </patternFill>
      </fill>
    </dxf>
    <dxf>
      <font>
        <b val="0"/>
        <i val="0"/>
        <strike val="0"/>
        <condense val="0"/>
        <extend val="0"/>
        <outline val="0"/>
        <shadow val="0"/>
        <u val="none"/>
        <vertAlign val="baseline"/>
        <sz val="11"/>
        <color theme="1"/>
        <name val="Calibri"/>
        <family val="2"/>
        <scheme val="minor"/>
      </font>
      <fill>
        <patternFill>
          <fgColor rgb="FF1F2D33"/>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ont>
    </dxf>
    <dxf>
      <font>
        <b/>
      </font>
    </dxf>
    <dxf>
      <fill>
        <patternFill>
          <bgColor rgb="FF17C3B2"/>
        </patternFill>
      </fill>
    </dxf>
    <dxf>
      <fill>
        <patternFill>
          <bgColor rgb="FF17C3B2"/>
        </patternFill>
      </fill>
    </dxf>
    <dxf>
      <fill>
        <patternFill>
          <bgColor rgb="FF17C3B2"/>
        </patternFill>
      </fill>
    </dxf>
    <dxf>
      <fill>
        <patternFill>
          <bgColor rgb="FF17C3B2"/>
        </patternFill>
      </fill>
    </dxf>
    <dxf>
      <border>
        <left/>
        <right/>
        <top/>
        <bottom/>
      </border>
    </dxf>
    <dxf>
      <font>
        <color theme="0"/>
      </font>
    </dxf>
    <dxf>
      <font>
        <color theme="0"/>
      </font>
    </dxf>
    <dxf>
      <font>
        <color theme="0"/>
      </font>
    </dxf>
    <dxf>
      <font>
        <color theme="0"/>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ill>
        <patternFill>
          <bgColor rgb="FF24343B"/>
        </patternFill>
      </fill>
    </dxf>
    <dxf>
      <font>
        <color auto="1"/>
      </font>
    </dxf>
    <dxf>
      <font>
        <color auto="1"/>
      </font>
    </dxf>
    <dxf>
      <font>
        <color auto="1"/>
      </font>
    </dxf>
    <dxf>
      <font>
        <color auto="1"/>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font>
        <color rgb="FFFFFFFF"/>
      </font>
      <fill>
        <patternFill>
          <fgColor rgb="FF17C3B2"/>
          <bgColor rgb="FF24343B"/>
        </patternFill>
      </fill>
      <border>
        <bottom style="thin">
          <color theme="9"/>
        </bottom>
        <vertical/>
        <horizontal/>
      </border>
    </dxf>
    <dxf>
      <font>
        <color rgb="FFFFFFFF"/>
      </font>
      <fill>
        <patternFill>
          <bgColor rgb="FF24343B"/>
        </patternFill>
      </fill>
      <border diagonalUp="0" diagonalDown="0">
        <left/>
        <right/>
        <top/>
        <bottom/>
        <vertical/>
        <horizontal/>
      </border>
    </dxf>
    <dxf>
      <fill>
        <patternFill>
          <fgColor rgb="FF24343B"/>
        </patternFill>
      </fill>
    </dxf>
  </dxfs>
  <tableStyles count="2" defaultTableStyle="TableStyleMedium2" defaultPivotStyle="PivotStyleLight16">
    <tableStyle name="Slicer Style 1" pivot="0" table="0" count="1" xr9:uid="{6C065389-C583-4BEE-B69A-0F842B2090F5}">
      <tableStyleElement type="wholeTable" dxfId="137"/>
    </tableStyle>
    <tableStyle name="SlicerStyleDark6 2" pivot="0" table="0" count="10" xr9:uid="{B582C2C2-6251-4BF4-ADE9-F720971D4CCA}">
      <tableStyleElement type="wholeTable" dxfId="136"/>
      <tableStyleElement type="headerRow" dxfId="135"/>
    </tableStyle>
  </tableStyles>
  <colors>
    <mruColors>
      <color rgb="FF17C3B2"/>
      <color rgb="FF1F2D33"/>
      <color rgb="FFFFFFFF"/>
      <color rgb="FF2F3E46"/>
      <color rgb="FF24343B"/>
      <color rgb="FF4CAF50"/>
      <color rgb="FF2F4F4F"/>
      <color rgb="FF3A5460"/>
      <color rgb="FFFF9800"/>
      <color rgb="FFF4433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17C3B2"/>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DASHBOARD.xlsx]Analysis!PT_Summary</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solidFill>
                  <a:srgbClr val="FFFFFF"/>
                </a:solidFill>
              </a:rPr>
              <a:t>Profit by Action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800"/>
          </a:solidFill>
          <a:ln>
            <a:noFill/>
          </a:ln>
          <a:effectLst/>
        </c:spPr>
        <c:dLbl>
          <c:idx val="0"/>
          <c:layout>
            <c:manualLayout>
              <c:x val="9.4444444444444442E-2"/>
              <c:y val="-1.2456461398951407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pivotFmt>
      <c:pivotFmt>
        <c:idx val="5"/>
        <c:spPr>
          <a:solidFill>
            <a:srgbClr val="4CAF50"/>
          </a:solidFill>
          <a:ln>
            <a:noFill/>
          </a:ln>
          <a:effectLst/>
        </c:spPr>
      </c:pivotFmt>
      <c:pivotFmt>
        <c:idx val="6"/>
        <c:spPr>
          <a:solidFill>
            <a:srgbClr val="F44336"/>
          </a:solidFill>
          <a:ln>
            <a:noFill/>
          </a:ln>
          <a:effectLst/>
        </c:spPr>
        <c:dLbl>
          <c:idx val="0"/>
          <c:layout>
            <c:manualLayout>
              <c:x val="0.1527777777777777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Analysis!$AN$6</c:f>
              <c:strCache>
                <c:ptCount val="1"/>
                <c:pt idx="0">
                  <c:v>Total</c:v>
                </c:pt>
              </c:strCache>
            </c:strRef>
          </c:tx>
          <c:spPr>
            <a:solidFill>
              <a:schemeClr val="accent1"/>
            </a:solidFill>
            <a:ln>
              <a:noFill/>
            </a:ln>
            <a:effectLst/>
          </c:spPr>
          <c:invertIfNegative val="0"/>
          <c:dPt>
            <c:idx val="0"/>
            <c:invertIfNegative val="0"/>
            <c:bubble3D val="0"/>
            <c:spPr>
              <a:solidFill>
                <a:srgbClr val="FF9800"/>
              </a:solidFill>
              <a:ln>
                <a:noFill/>
              </a:ln>
              <a:effectLst/>
            </c:spPr>
            <c:extLst>
              <c:ext xmlns:c16="http://schemas.microsoft.com/office/drawing/2014/chart" uri="{C3380CC4-5D6E-409C-BE32-E72D297353CC}">
                <c16:uniqueId val="{00000004-8564-45BB-BA61-0D045E6A0D45}"/>
              </c:ext>
            </c:extLst>
          </c:dPt>
          <c:dPt>
            <c:idx val="1"/>
            <c:invertIfNegative val="0"/>
            <c:bubble3D val="0"/>
            <c:spPr>
              <a:solidFill>
                <a:srgbClr val="F44336"/>
              </a:solidFill>
              <a:ln>
                <a:noFill/>
              </a:ln>
              <a:effectLst/>
            </c:spPr>
            <c:extLst>
              <c:ext xmlns:c16="http://schemas.microsoft.com/office/drawing/2014/chart" uri="{C3380CC4-5D6E-409C-BE32-E72D297353CC}">
                <c16:uniqueId val="{00000003-8564-45BB-BA61-0D045E6A0D45}"/>
              </c:ext>
            </c:extLst>
          </c:dPt>
          <c:dPt>
            <c:idx val="2"/>
            <c:invertIfNegative val="0"/>
            <c:bubble3D val="0"/>
            <c:spPr>
              <a:solidFill>
                <a:srgbClr val="4CAF50"/>
              </a:solidFill>
              <a:ln>
                <a:noFill/>
              </a:ln>
              <a:effectLst/>
            </c:spPr>
            <c:extLst>
              <c:ext xmlns:c16="http://schemas.microsoft.com/office/drawing/2014/chart" uri="{C3380CC4-5D6E-409C-BE32-E72D297353CC}">
                <c16:uniqueId val="{00000001-8564-45BB-BA61-0D045E6A0D45}"/>
              </c:ext>
            </c:extLst>
          </c:dPt>
          <c:dPt>
            <c:idx val="3"/>
            <c:invertIfNegative val="0"/>
            <c:bubble3D val="0"/>
            <c:spPr>
              <a:solidFill>
                <a:srgbClr val="FFC107"/>
              </a:solidFill>
              <a:ln>
                <a:noFill/>
              </a:ln>
              <a:effectLst/>
            </c:spPr>
            <c:extLst>
              <c:ext xmlns:c16="http://schemas.microsoft.com/office/drawing/2014/chart" uri="{C3380CC4-5D6E-409C-BE32-E72D297353CC}">
                <c16:uniqueId val="{00000002-8564-45BB-BA61-0D045E6A0D45}"/>
              </c:ext>
            </c:extLst>
          </c:dPt>
          <c:dLbls>
            <c:dLbl>
              <c:idx val="0"/>
              <c:layout>
                <c:manualLayout>
                  <c:x val="9.4444444444444442E-2"/>
                  <c:y val="-1.2456461398951407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64-45BB-BA61-0D045E6A0D45}"/>
                </c:ext>
              </c:extLst>
            </c:dLbl>
            <c:dLbl>
              <c:idx val="1"/>
              <c:layout>
                <c:manualLayout>
                  <c:x val="0.1527777777777777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64-45BB-BA61-0D045E6A0D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Analysis!$AM$7:$AM$11</c:f>
              <c:strCache>
                <c:ptCount val="4"/>
                <c:pt idx="0">
                  <c:v>Optimize</c:v>
                </c:pt>
                <c:pt idx="1">
                  <c:v>Drop</c:v>
                </c:pt>
                <c:pt idx="2">
                  <c:v>Scale</c:v>
                </c:pt>
                <c:pt idx="3">
                  <c:v>Monitor</c:v>
                </c:pt>
              </c:strCache>
            </c:strRef>
          </c:cat>
          <c:val>
            <c:numRef>
              <c:f>Analysis!$AN$7:$AN$11</c:f>
              <c:numCache>
                <c:formatCode>_(* #,##0.00_);_(* \(#,##0.00\);_(* "-"??_);_(@_)</c:formatCode>
                <c:ptCount val="4"/>
                <c:pt idx="0">
                  <c:v>63630.54</c:v>
                </c:pt>
                <c:pt idx="1">
                  <c:v>181899.44000000003</c:v>
                </c:pt>
                <c:pt idx="2">
                  <c:v>856510.98</c:v>
                </c:pt>
                <c:pt idx="3">
                  <c:v>1178227.52</c:v>
                </c:pt>
              </c:numCache>
            </c:numRef>
          </c:val>
          <c:extLst>
            <c:ext xmlns:c16="http://schemas.microsoft.com/office/drawing/2014/chart" uri="{C3380CC4-5D6E-409C-BE32-E72D297353CC}">
              <c16:uniqueId val="{00000000-8564-45BB-BA61-0D045E6A0D45}"/>
            </c:ext>
          </c:extLst>
        </c:ser>
        <c:dLbls>
          <c:dLblPos val="ctr"/>
          <c:showLegendKey val="0"/>
          <c:showVal val="1"/>
          <c:showCatName val="0"/>
          <c:showSerName val="0"/>
          <c:showPercent val="0"/>
          <c:showBubbleSize val="0"/>
        </c:dLbls>
        <c:gapWidth val="150"/>
        <c:overlap val="100"/>
        <c:axId val="457248319"/>
        <c:axId val="457245919"/>
      </c:barChart>
      <c:catAx>
        <c:axId val="45724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FFFF"/>
                </a:solidFill>
                <a:latin typeface="+mn-lt"/>
                <a:ea typeface="+mn-ea"/>
                <a:cs typeface="+mn-cs"/>
              </a:defRPr>
            </a:pPr>
            <a:endParaRPr lang="en-US"/>
          </a:p>
        </c:txPr>
        <c:crossAx val="457245919"/>
        <c:crosses val="autoZero"/>
        <c:auto val="1"/>
        <c:lblAlgn val="ctr"/>
        <c:lblOffset val="100"/>
        <c:noMultiLvlLbl val="0"/>
      </c:catAx>
      <c:valAx>
        <c:axId val="457245919"/>
        <c:scaling>
          <c:orientation val="minMax"/>
        </c:scaling>
        <c:delete val="1"/>
        <c:axPos val="b"/>
        <c:numFmt formatCode="_(* #,##0.00_);_(* \(#,##0.00\);_(* &quot;-&quot;??_);_(@_)" sourceLinked="1"/>
        <c:majorTickMark val="none"/>
        <c:minorTickMark val="none"/>
        <c:tickLblPos val="nextTo"/>
        <c:crossAx val="45724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PH" b="1">
                <a:solidFill>
                  <a:srgbClr val="FFFFFF"/>
                </a:solidFill>
              </a:rPr>
              <a:t>Cost</a:t>
            </a:r>
            <a:r>
              <a:rPr lang="en-PH" b="1" baseline="0">
                <a:solidFill>
                  <a:srgbClr val="FFFFFF"/>
                </a:solidFill>
              </a:rPr>
              <a:t> vs Profit</a:t>
            </a:r>
            <a:endParaRPr lang="en-PH" b="1">
              <a:solidFill>
                <a:srgbClr val="FFFFFF"/>
              </a:solidFill>
            </a:endParaRPr>
          </a:p>
        </c:rich>
      </c:tx>
      <c:overlay val="0"/>
      <c:spPr>
        <a:solidFill>
          <a:srgbClr val="2F3E46"/>
        </a:solid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PH"/>
        </a:p>
      </c:txPr>
    </c:title>
    <c:autoTitleDeleted val="0"/>
    <c:plotArea>
      <c:layout/>
      <c:scatterChart>
        <c:scatterStyle val="lineMarker"/>
        <c:varyColors val="0"/>
        <c:ser>
          <c:idx val="0"/>
          <c:order val="0"/>
          <c:tx>
            <c:strRef>
              <c:f>'cost vs profit_helper'!$C$1</c:f>
              <c:strCache>
                <c:ptCount val="1"/>
                <c:pt idx="0">
                  <c:v> profit </c:v>
                </c:pt>
              </c:strCache>
            </c:strRef>
          </c:tx>
          <c:spPr>
            <a:ln w="19050" cap="rnd">
              <a:noFill/>
              <a:round/>
            </a:ln>
            <a:effectLst>
              <a:glow>
                <a:schemeClr val="accent1"/>
              </a:glow>
              <a:softEdge rad="0"/>
            </a:effectLst>
          </c:spPr>
          <c:marker>
            <c:symbol val="circle"/>
            <c:size val="7"/>
            <c:spPr>
              <a:solidFill>
                <a:srgbClr val="17C3B2"/>
              </a:solidFill>
              <a:ln w="9525">
                <a:noFill/>
              </a:ln>
              <a:effectLst>
                <a:glow>
                  <a:schemeClr val="accent1"/>
                </a:glow>
                <a:softEdge rad="0"/>
              </a:effectLst>
            </c:spPr>
          </c:marker>
          <c:xVal>
            <c:numRef>
              <c:f>'cost vs profit_helper'!$B$2:$B$32</c:f>
              <c:numCache>
                <c:formatCode>_(* #,##0.00_);_(* \(#,##0.00\);_(* "-"??_);_(@_)</c:formatCode>
                <c:ptCount val="31"/>
                <c:pt idx="0">
                  <c:v>101.81</c:v>
                </c:pt>
                <c:pt idx="1">
                  <c:v>99.54</c:v>
                </c:pt>
                <c:pt idx="2">
                  <c:v>71.38</c:v>
                </c:pt>
                <c:pt idx="3">
                  <c:v>105.2</c:v>
                </c:pt>
                <c:pt idx="4">
                  <c:v>67.08</c:v>
                </c:pt>
                <c:pt idx="5">
                  <c:v>56.53</c:v>
                </c:pt>
                <c:pt idx="6">
                  <c:v>64.37</c:v>
                </c:pt>
                <c:pt idx="7">
                  <c:v>76.94</c:v>
                </c:pt>
                <c:pt idx="8">
                  <c:v>87.12</c:v>
                </c:pt>
                <c:pt idx="9">
                  <c:v>62.93</c:v>
                </c:pt>
                <c:pt idx="10">
                  <c:v>84.36</c:v>
                </c:pt>
                <c:pt idx="11">
                  <c:v>103.95</c:v>
                </c:pt>
                <c:pt idx="12">
                  <c:v>91.59</c:v>
                </c:pt>
                <c:pt idx="13">
                  <c:v>98.31</c:v>
                </c:pt>
                <c:pt idx="14">
                  <c:v>87.73</c:v>
                </c:pt>
                <c:pt idx="15">
                  <c:v>79.59</c:v>
                </c:pt>
                <c:pt idx="16">
                  <c:v>80.510000000000005</c:v>
                </c:pt>
                <c:pt idx="17">
                  <c:v>76.06</c:v>
                </c:pt>
                <c:pt idx="18">
                  <c:v>93.35</c:v>
                </c:pt>
                <c:pt idx="19">
                  <c:v>95.96</c:v>
                </c:pt>
                <c:pt idx="20">
                  <c:v>107.37</c:v>
                </c:pt>
                <c:pt idx="21">
                  <c:v>67.33</c:v>
                </c:pt>
                <c:pt idx="22">
                  <c:v>85.82</c:v>
                </c:pt>
                <c:pt idx="23">
                  <c:v>60.59</c:v>
                </c:pt>
                <c:pt idx="24">
                  <c:v>81.3</c:v>
                </c:pt>
                <c:pt idx="25">
                  <c:v>78.180000000000007</c:v>
                </c:pt>
                <c:pt idx="26">
                  <c:v>101.53</c:v>
                </c:pt>
                <c:pt idx="27">
                  <c:v>69.33</c:v>
                </c:pt>
                <c:pt idx="28">
                  <c:v>71.53</c:v>
                </c:pt>
                <c:pt idx="29">
                  <c:v>61.21</c:v>
                </c:pt>
                <c:pt idx="30">
                  <c:v>73.67</c:v>
                </c:pt>
              </c:numCache>
            </c:numRef>
          </c:xVal>
          <c:yVal>
            <c:numRef>
              <c:f>'cost vs profit_helper'!$C$2:$C$32</c:f>
              <c:numCache>
                <c:formatCode>_(* #,##0.00_);_(* \(#,##0.00\);_(* "-"??_);_(@_)</c:formatCode>
                <c:ptCount val="31"/>
                <c:pt idx="0">
                  <c:v>18198.46</c:v>
                </c:pt>
                <c:pt idx="1">
                  <c:v>17248.41</c:v>
                </c:pt>
                <c:pt idx="2">
                  <c:v>16583.84</c:v>
                </c:pt>
                <c:pt idx="3">
                  <c:v>15539.76</c:v>
                </c:pt>
                <c:pt idx="4">
                  <c:v>13102.05</c:v>
                </c:pt>
                <c:pt idx="5">
                  <c:v>13043.32</c:v>
                </c:pt>
                <c:pt idx="6">
                  <c:v>11232.92</c:v>
                </c:pt>
                <c:pt idx="7">
                  <c:v>11105.81</c:v>
                </c:pt>
                <c:pt idx="8">
                  <c:v>9473.0499999999993</c:v>
                </c:pt>
                <c:pt idx="9">
                  <c:v>8479.43</c:v>
                </c:pt>
                <c:pt idx="10">
                  <c:v>7258.28</c:v>
                </c:pt>
                <c:pt idx="11">
                  <c:v>7108.07</c:v>
                </c:pt>
                <c:pt idx="12">
                  <c:v>6379.06</c:v>
                </c:pt>
                <c:pt idx="13">
                  <c:v>6084.58</c:v>
                </c:pt>
                <c:pt idx="14">
                  <c:v>5999.63</c:v>
                </c:pt>
                <c:pt idx="15">
                  <c:v>5886.72</c:v>
                </c:pt>
                <c:pt idx="16">
                  <c:v>5546.86</c:v>
                </c:pt>
                <c:pt idx="17">
                  <c:v>4383.53</c:v>
                </c:pt>
                <c:pt idx="18">
                  <c:v>4348.8599999999997</c:v>
                </c:pt>
                <c:pt idx="19">
                  <c:v>4089.63</c:v>
                </c:pt>
                <c:pt idx="20">
                  <c:v>3916.57</c:v>
                </c:pt>
                <c:pt idx="21">
                  <c:v>2930.87</c:v>
                </c:pt>
                <c:pt idx="22">
                  <c:v>2779.87</c:v>
                </c:pt>
                <c:pt idx="23">
                  <c:v>2562.89</c:v>
                </c:pt>
                <c:pt idx="24">
                  <c:v>2031.91</c:v>
                </c:pt>
                <c:pt idx="25">
                  <c:v>1845.9</c:v>
                </c:pt>
                <c:pt idx="26">
                  <c:v>1589.28</c:v>
                </c:pt>
                <c:pt idx="27">
                  <c:v>875.2</c:v>
                </c:pt>
                <c:pt idx="28">
                  <c:v>739.29</c:v>
                </c:pt>
                <c:pt idx="29">
                  <c:v>188.69</c:v>
                </c:pt>
                <c:pt idx="30">
                  <c:v>144.94999999999999</c:v>
                </c:pt>
              </c:numCache>
            </c:numRef>
          </c:yVal>
          <c:smooth val="0"/>
          <c:extLst>
            <c:ext xmlns:c16="http://schemas.microsoft.com/office/drawing/2014/chart" uri="{C3380CC4-5D6E-409C-BE32-E72D297353CC}">
              <c16:uniqueId val="{00000000-CA57-49C6-BC87-88312F389457}"/>
            </c:ext>
          </c:extLst>
        </c:ser>
        <c:dLbls>
          <c:showLegendKey val="0"/>
          <c:showVal val="0"/>
          <c:showCatName val="0"/>
          <c:showSerName val="0"/>
          <c:showPercent val="0"/>
          <c:showBubbleSize val="0"/>
        </c:dLbls>
        <c:axId val="664823039"/>
        <c:axId val="664829759"/>
      </c:scatterChart>
      <c:valAx>
        <c:axId val="664823039"/>
        <c:scaling>
          <c:orientation val="minMax"/>
          <c:max val="115"/>
          <c:min val="55"/>
        </c:scaling>
        <c:delete val="0"/>
        <c:axPos val="b"/>
        <c:title>
          <c:tx>
            <c:rich>
              <a:bodyPr rot="0" spcFirstLastPara="1" vertOverflow="ellipsis" vert="horz" wrap="square" anchor="ctr" anchorCtr="1"/>
              <a:lstStyle/>
              <a:p>
                <a:pPr>
                  <a:defRPr sz="1100" b="1" i="0" u="none" strike="noStrike" kern="1200" baseline="0">
                    <a:solidFill>
                      <a:srgbClr val="FFFFFF"/>
                    </a:solidFill>
                    <a:latin typeface="+mn-lt"/>
                    <a:ea typeface="+mn-ea"/>
                    <a:cs typeface="+mn-cs"/>
                  </a:defRPr>
                </a:pPr>
                <a:r>
                  <a:rPr lang="en-PH" sz="1100" b="1">
                    <a:solidFill>
                      <a:srgbClr val="FFFFFF"/>
                    </a:solidFill>
                  </a:rPr>
                  <a:t>Cost</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FFFFFF"/>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64829759"/>
        <c:crosses val="autoZero"/>
        <c:crossBetween val="midCat"/>
        <c:minorUnit val="10"/>
      </c:valAx>
      <c:valAx>
        <c:axId val="664829759"/>
        <c:scaling>
          <c:orientation val="minMax"/>
          <c:max val="19000"/>
          <c:min val="0"/>
        </c:scaling>
        <c:delete val="0"/>
        <c:axPos val="l"/>
        <c:title>
          <c:tx>
            <c:rich>
              <a:bodyPr rot="-5400000" spcFirstLastPara="1" vertOverflow="ellipsis" vert="horz" wrap="square" anchor="ctr" anchorCtr="1"/>
              <a:lstStyle/>
              <a:p>
                <a:pPr>
                  <a:defRPr sz="1000" b="1" i="0" u="none" strike="noStrike" kern="1200" baseline="0">
                    <a:solidFill>
                      <a:srgbClr val="FFFFFF"/>
                    </a:solidFill>
                    <a:latin typeface="+mn-lt"/>
                    <a:ea typeface="+mn-ea"/>
                    <a:cs typeface="+mn-cs"/>
                  </a:defRPr>
                </a:pPr>
                <a:r>
                  <a:rPr lang="en-PH" b="1">
                    <a:solidFill>
                      <a:srgbClr val="FFFFFF"/>
                    </a:solidFill>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64823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DASHBOARD.xlsx]Analysis!PivotTable8</c:name>
    <c:fmtId val="2"/>
  </c:pivotSource>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US" b="1">
                <a:solidFill>
                  <a:srgbClr val="FFFFFF"/>
                </a:solidFill>
              </a:rPr>
              <a:t>Risk Tolerance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107"/>
          </a:solidFill>
          <a:ln>
            <a:noFill/>
          </a:ln>
          <a:effectLst/>
        </c:spPr>
      </c:pivotFmt>
      <c:pivotFmt>
        <c:idx val="4"/>
        <c:spPr>
          <a:solidFill>
            <a:srgbClr val="4CAF50"/>
          </a:solidFill>
          <a:ln>
            <a:noFill/>
          </a:ln>
          <a:effectLst/>
        </c:spPr>
      </c:pivotFmt>
      <c:pivotFmt>
        <c:idx val="5"/>
        <c:spPr>
          <a:solidFill>
            <a:srgbClr val="F44336"/>
          </a:solidFill>
          <a:ln>
            <a:noFill/>
          </a:ln>
          <a:effectLst/>
        </c:spPr>
        <c:dLbl>
          <c:idx val="0"/>
          <c:layout>
            <c:manualLayout>
              <c:x val="1.1246719160104477E-3"/>
              <c:y val="-8.427965712462829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800"/>
          </a:solidFill>
          <a:ln>
            <a:noFill/>
          </a:ln>
          <a:effectLst/>
        </c:spPr>
        <c:dLbl>
          <c:idx val="0"/>
          <c:layout>
            <c:manualLayout>
              <c:x val="4.429899387576547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Analysis!$R$21</c:f>
              <c:strCache>
                <c:ptCount val="1"/>
                <c:pt idx="0">
                  <c:v>Total</c:v>
                </c:pt>
              </c:strCache>
            </c:strRef>
          </c:tx>
          <c:spPr>
            <a:solidFill>
              <a:schemeClr val="accent1"/>
            </a:solidFill>
            <a:ln>
              <a:noFill/>
            </a:ln>
            <a:effectLst/>
          </c:spPr>
          <c:invertIfNegative val="0"/>
          <c:dPt>
            <c:idx val="0"/>
            <c:invertIfNegative val="0"/>
            <c:bubble3D val="0"/>
            <c:spPr>
              <a:solidFill>
                <a:srgbClr val="FF9800"/>
              </a:solidFill>
              <a:ln>
                <a:noFill/>
              </a:ln>
              <a:effectLst/>
            </c:spPr>
            <c:extLst>
              <c:ext xmlns:c16="http://schemas.microsoft.com/office/drawing/2014/chart" uri="{C3380CC4-5D6E-409C-BE32-E72D297353CC}">
                <c16:uniqueId val="{00000004-07B1-4079-8C39-B5DE6855F3E7}"/>
              </c:ext>
            </c:extLst>
          </c:dPt>
          <c:dPt>
            <c:idx val="1"/>
            <c:invertIfNegative val="0"/>
            <c:bubble3D val="0"/>
            <c:spPr>
              <a:solidFill>
                <a:srgbClr val="F44336"/>
              </a:solidFill>
              <a:ln>
                <a:noFill/>
              </a:ln>
              <a:effectLst/>
            </c:spPr>
            <c:extLst>
              <c:ext xmlns:c16="http://schemas.microsoft.com/office/drawing/2014/chart" uri="{C3380CC4-5D6E-409C-BE32-E72D297353CC}">
                <c16:uniqueId val="{00000003-07B1-4079-8C39-B5DE6855F3E7}"/>
              </c:ext>
            </c:extLst>
          </c:dPt>
          <c:dPt>
            <c:idx val="2"/>
            <c:invertIfNegative val="0"/>
            <c:bubble3D val="0"/>
            <c:spPr>
              <a:solidFill>
                <a:srgbClr val="4CAF50"/>
              </a:solidFill>
              <a:ln>
                <a:noFill/>
              </a:ln>
              <a:effectLst/>
            </c:spPr>
            <c:extLst>
              <c:ext xmlns:c16="http://schemas.microsoft.com/office/drawing/2014/chart" uri="{C3380CC4-5D6E-409C-BE32-E72D297353CC}">
                <c16:uniqueId val="{00000002-07B1-4079-8C39-B5DE6855F3E7}"/>
              </c:ext>
            </c:extLst>
          </c:dPt>
          <c:dPt>
            <c:idx val="3"/>
            <c:invertIfNegative val="0"/>
            <c:bubble3D val="0"/>
            <c:spPr>
              <a:solidFill>
                <a:srgbClr val="FFC107"/>
              </a:solidFill>
              <a:ln>
                <a:noFill/>
              </a:ln>
              <a:effectLst/>
            </c:spPr>
            <c:extLst>
              <c:ext xmlns:c16="http://schemas.microsoft.com/office/drawing/2014/chart" uri="{C3380CC4-5D6E-409C-BE32-E72D297353CC}">
                <c16:uniqueId val="{00000001-07B1-4079-8C39-B5DE6855F3E7}"/>
              </c:ext>
            </c:extLst>
          </c:dPt>
          <c:dLbls>
            <c:dLbl>
              <c:idx val="0"/>
              <c:layout>
                <c:manualLayout>
                  <c:x val="4.42989938757654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B1-4079-8C39-B5DE6855F3E7}"/>
                </c:ext>
              </c:extLst>
            </c:dLbl>
            <c:dLbl>
              <c:idx val="1"/>
              <c:layout>
                <c:manualLayout>
                  <c:x val="1.1246719160104477E-3"/>
                  <c:y val="-8.42796571246282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B1-4079-8C39-B5DE6855F3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Analysis!$Q$22:$Q$25</c:f>
              <c:strCache>
                <c:ptCount val="4"/>
                <c:pt idx="0">
                  <c:v>Low Profit - Low Risk</c:v>
                </c:pt>
                <c:pt idx="1">
                  <c:v>Low Profit - High Risk</c:v>
                </c:pt>
                <c:pt idx="2">
                  <c:v>High Profit - Low Risk</c:v>
                </c:pt>
                <c:pt idx="3">
                  <c:v>High Profit - High Risk</c:v>
                </c:pt>
              </c:strCache>
            </c:strRef>
          </c:cat>
          <c:val>
            <c:numRef>
              <c:f>Analysis!$R$22:$R$25</c:f>
              <c:numCache>
                <c:formatCode>_(* #,##0.00_);_(* \(#,##0.00\);_(* "-"??_);_(@_)</c:formatCode>
                <c:ptCount val="4"/>
                <c:pt idx="0">
                  <c:v>63630.540000000008</c:v>
                </c:pt>
                <c:pt idx="1">
                  <c:v>181899.44</c:v>
                </c:pt>
                <c:pt idx="2">
                  <c:v>856510.97999999986</c:v>
                </c:pt>
                <c:pt idx="3">
                  <c:v>1178227.52</c:v>
                </c:pt>
              </c:numCache>
            </c:numRef>
          </c:val>
          <c:extLst>
            <c:ext xmlns:c16="http://schemas.microsoft.com/office/drawing/2014/chart" uri="{C3380CC4-5D6E-409C-BE32-E72D297353CC}">
              <c16:uniqueId val="{00000000-07B1-4079-8C39-B5DE6855F3E7}"/>
            </c:ext>
          </c:extLst>
        </c:ser>
        <c:dLbls>
          <c:dLblPos val="outEnd"/>
          <c:showLegendKey val="0"/>
          <c:showVal val="1"/>
          <c:showCatName val="0"/>
          <c:showSerName val="0"/>
          <c:showPercent val="0"/>
          <c:showBubbleSize val="0"/>
        </c:dLbls>
        <c:gapWidth val="182"/>
        <c:axId val="424228175"/>
        <c:axId val="424229135"/>
      </c:barChart>
      <c:catAx>
        <c:axId val="42422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crossAx val="424229135"/>
        <c:crosses val="autoZero"/>
        <c:auto val="1"/>
        <c:lblAlgn val="ctr"/>
        <c:lblOffset val="100"/>
        <c:noMultiLvlLbl val="0"/>
      </c:catAx>
      <c:valAx>
        <c:axId val="424229135"/>
        <c:scaling>
          <c:orientation val="minMax"/>
        </c:scaling>
        <c:delete val="1"/>
        <c:axPos val="b"/>
        <c:numFmt formatCode="_(* #,##0.00_);_(* \(#,##0.00\);_(* &quot;-&quot;??_);_(@_)" sourceLinked="1"/>
        <c:majorTickMark val="none"/>
        <c:minorTickMark val="none"/>
        <c:tickLblPos val="nextTo"/>
        <c:crossAx val="42422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DASHBOARD.xlsx]Analysis!PivotTable2</c:name>
    <c:fmtId val="3"/>
  </c:pivotSource>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PH" sz="1400" b="1" i="0" u="none" strike="noStrike" baseline="0">
                <a:solidFill>
                  <a:srgbClr val="FFFFFF"/>
                </a:solidFill>
              </a:rPr>
              <a:t>Average Defect Rate by Supplier</a:t>
            </a:r>
            <a:endParaRPr lang="en-US" b="1">
              <a:solidFill>
                <a:srgbClr val="FFFFF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4336"/>
          </a:solidFill>
          <a:ln>
            <a:noFill/>
          </a:ln>
          <a:effectLst/>
        </c:spPr>
      </c:pivotFmt>
    </c:pivotFmts>
    <c:plotArea>
      <c:layout/>
      <c:barChart>
        <c:barDir val="bar"/>
        <c:grouping val="clustered"/>
        <c:varyColors val="0"/>
        <c:ser>
          <c:idx val="0"/>
          <c:order val="0"/>
          <c:tx>
            <c:strRef>
              <c:f>Analysis!$H$6</c:f>
              <c:strCache>
                <c:ptCount val="1"/>
                <c:pt idx="0">
                  <c:v>Total</c:v>
                </c:pt>
              </c:strCache>
            </c:strRef>
          </c:tx>
          <c:spPr>
            <a:solidFill>
              <a:srgbClr val="17C3B2"/>
            </a:solidFill>
            <a:ln>
              <a:noFill/>
            </a:ln>
            <a:effectLst/>
          </c:spPr>
          <c:invertIfNegative val="0"/>
          <c:dPt>
            <c:idx val="0"/>
            <c:invertIfNegative val="0"/>
            <c:bubble3D val="0"/>
            <c:spPr>
              <a:solidFill>
                <a:srgbClr val="F44336"/>
              </a:solidFill>
              <a:ln>
                <a:noFill/>
              </a:ln>
              <a:effectLst/>
            </c:spPr>
            <c:extLst>
              <c:ext xmlns:c16="http://schemas.microsoft.com/office/drawing/2014/chart" uri="{C3380CC4-5D6E-409C-BE32-E72D297353CC}">
                <c16:uniqueId val="{00000001-7F5E-4B33-B515-5C3B3AAC9C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Analysis!$G$7:$G$11</c:f>
              <c:strCache>
                <c:ptCount val="5"/>
                <c:pt idx="0">
                  <c:v>Supplier 1</c:v>
                </c:pt>
                <c:pt idx="1">
                  <c:v>Supplier 4</c:v>
                </c:pt>
                <c:pt idx="2">
                  <c:v>Supplier 2</c:v>
                </c:pt>
                <c:pt idx="3">
                  <c:v>Supplier 3</c:v>
                </c:pt>
                <c:pt idx="4">
                  <c:v>Supplier 5</c:v>
                </c:pt>
              </c:strCache>
            </c:strRef>
          </c:cat>
          <c:val>
            <c:numRef>
              <c:f>Analysis!$H$7:$H$11</c:f>
              <c:numCache>
                <c:formatCode>General</c:formatCode>
                <c:ptCount val="5"/>
                <c:pt idx="0">
                  <c:v>1.8</c:v>
                </c:pt>
                <c:pt idx="1">
                  <c:v>2.34</c:v>
                </c:pt>
                <c:pt idx="2">
                  <c:v>2.36</c:v>
                </c:pt>
                <c:pt idx="3">
                  <c:v>2.4700000000000002</c:v>
                </c:pt>
                <c:pt idx="4">
                  <c:v>2.67</c:v>
                </c:pt>
              </c:numCache>
            </c:numRef>
          </c:val>
          <c:extLst>
            <c:ext xmlns:c16="http://schemas.microsoft.com/office/drawing/2014/chart" uri="{C3380CC4-5D6E-409C-BE32-E72D297353CC}">
              <c16:uniqueId val="{00000000-7F5E-4B33-B515-5C3B3AAC9C61}"/>
            </c:ext>
          </c:extLst>
        </c:ser>
        <c:dLbls>
          <c:dLblPos val="outEnd"/>
          <c:showLegendKey val="0"/>
          <c:showVal val="1"/>
          <c:showCatName val="0"/>
          <c:showSerName val="0"/>
          <c:showPercent val="0"/>
          <c:showBubbleSize val="0"/>
        </c:dLbls>
        <c:gapWidth val="182"/>
        <c:axId val="1380297615"/>
        <c:axId val="1380298095"/>
      </c:barChart>
      <c:catAx>
        <c:axId val="138029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380298095"/>
        <c:crosses val="autoZero"/>
        <c:auto val="1"/>
        <c:lblAlgn val="ctr"/>
        <c:lblOffset val="100"/>
        <c:noMultiLvlLbl val="0"/>
      </c:catAx>
      <c:valAx>
        <c:axId val="1380298095"/>
        <c:scaling>
          <c:orientation val="minMax"/>
        </c:scaling>
        <c:delete val="1"/>
        <c:axPos val="b"/>
        <c:numFmt formatCode="General" sourceLinked="1"/>
        <c:majorTickMark val="none"/>
        <c:minorTickMark val="none"/>
        <c:tickLblPos val="nextTo"/>
        <c:crossAx val="138029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DASHBOARD.xlsx]Analysis!PivotTable23</c:name>
    <c:fmtId val="3"/>
  </c:pivotSource>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PH" sz="1400" b="1" i="0" u="none" strike="noStrike" baseline="0">
                <a:solidFill>
                  <a:srgbClr val="FFFFFF"/>
                </a:solidFill>
              </a:rPr>
              <a:t>SKU Volume by Supplier</a:t>
            </a:r>
            <a:endParaRPr lang="en-PH" b="1">
              <a:solidFill>
                <a:srgbClr val="FFFFF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4336"/>
          </a:solidFill>
          <a:ln>
            <a:noFill/>
          </a:ln>
          <a:effectLst/>
        </c:spPr>
      </c:pivotFmt>
    </c:pivotFmts>
    <c:plotArea>
      <c:layout/>
      <c:barChart>
        <c:barDir val="bar"/>
        <c:grouping val="clustered"/>
        <c:varyColors val="0"/>
        <c:ser>
          <c:idx val="0"/>
          <c:order val="0"/>
          <c:tx>
            <c:strRef>
              <c:f>Analysis!$H$14</c:f>
              <c:strCache>
                <c:ptCount val="1"/>
                <c:pt idx="0">
                  <c:v>Total</c:v>
                </c:pt>
              </c:strCache>
            </c:strRef>
          </c:tx>
          <c:spPr>
            <a:solidFill>
              <a:srgbClr val="17C3B2"/>
            </a:solidFill>
            <a:ln>
              <a:noFill/>
            </a:ln>
            <a:effectLst/>
          </c:spPr>
          <c:invertIfNegative val="0"/>
          <c:dPt>
            <c:idx val="0"/>
            <c:invertIfNegative val="0"/>
            <c:bubble3D val="0"/>
            <c:spPr>
              <a:solidFill>
                <a:srgbClr val="F44336"/>
              </a:solidFill>
              <a:ln>
                <a:noFill/>
              </a:ln>
              <a:effectLst/>
            </c:spPr>
            <c:extLst>
              <c:ext xmlns:c16="http://schemas.microsoft.com/office/drawing/2014/chart" uri="{C3380CC4-5D6E-409C-BE32-E72D297353CC}">
                <c16:uniqueId val="{00000001-C52C-4BD5-B9C6-C4A29C38BF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Analysis!$G$15:$G$19</c:f>
              <c:strCache>
                <c:ptCount val="5"/>
                <c:pt idx="0">
                  <c:v>Supplier 3</c:v>
                </c:pt>
                <c:pt idx="1">
                  <c:v>Supplier 4</c:v>
                </c:pt>
                <c:pt idx="2">
                  <c:v>Supplier 5</c:v>
                </c:pt>
                <c:pt idx="3">
                  <c:v>Supplier 2</c:v>
                </c:pt>
                <c:pt idx="4">
                  <c:v>Supplier 1</c:v>
                </c:pt>
              </c:strCache>
            </c:strRef>
          </c:cat>
          <c:val>
            <c:numRef>
              <c:f>Analysis!$H$15:$H$19</c:f>
              <c:numCache>
                <c:formatCode>General</c:formatCode>
                <c:ptCount val="5"/>
                <c:pt idx="0">
                  <c:v>15</c:v>
                </c:pt>
                <c:pt idx="1">
                  <c:v>18</c:v>
                </c:pt>
                <c:pt idx="2">
                  <c:v>18</c:v>
                </c:pt>
                <c:pt idx="3">
                  <c:v>22</c:v>
                </c:pt>
                <c:pt idx="4">
                  <c:v>27</c:v>
                </c:pt>
              </c:numCache>
            </c:numRef>
          </c:val>
          <c:extLst>
            <c:ext xmlns:c16="http://schemas.microsoft.com/office/drawing/2014/chart" uri="{C3380CC4-5D6E-409C-BE32-E72D297353CC}">
              <c16:uniqueId val="{00000000-C52C-4BD5-B9C6-C4A29C38BF8C}"/>
            </c:ext>
          </c:extLst>
        </c:ser>
        <c:dLbls>
          <c:dLblPos val="outEnd"/>
          <c:showLegendKey val="0"/>
          <c:showVal val="1"/>
          <c:showCatName val="0"/>
          <c:showSerName val="0"/>
          <c:showPercent val="0"/>
          <c:showBubbleSize val="0"/>
        </c:dLbls>
        <c:gapWidth val="182"/>
        <c:axId val="878485311"/>
        <c:axId val="878488191"/>
      </c:barChart>
      <c:catAx>
        <c:axId val="87848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crossAx val="878488191"/>
        <c:crosses val="autoZero"/>
        <c:auto val="1"/>
        <c:lblAlgn val="ctr"/>
        <c:lblOffset val="100"/>
        <c:noMultiLvlLbl val="0"/>
      </c:catAx>
      <c:valAx>
        <c:axId val="878488191"/>
        <c:scaling>
          <c:orientation val="minMax"/>
        </c:scaling>
        <c:delete val="1"/>
        <c:axPos val="b"/>
        <c:numFmt formatCode="General" sourceLinked="1"/>
        <c:majorTickMark val="none"/>
        <c:minorTickMark val="none"/>
        <c:tickLblPos val="nextTo"/>
        <c:crossAx val="8784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DASHBOARD.xlsx]Analysis!PivotTable1</c:name>
    <c:fmtId val="2"/>
  </c:pivotSource>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PH" sz="1400" b="1" i="0" u="none" strike="noStrike" baseline="0"/>
              <a:t>Lead Time vs Shipping Time Analysis</a:t>
            </a:r>
            <a:endParaRPr lang="en-PH" b="1">
              <a:solidFill>
                <a:srgbClr val="FFFFF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7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c:f>
              <c:strCache>
                <c:ptCount val="1"/>
                <c:pt idx="0">
                  <c:v>Average of shipping Lead Time</c:v>
                </c:pt>
              </c:strCache>
            </c:strRef>
          </c:tx>
          <c:spPr>
            <a:solidFill>
              <a:srgbClr val="17C3B2"/>
            </a:solidFill>
            <a:ln>
              <a:noFill/>
            </a:ln>
            <a:effectLst/>
          </c:spPr>
          <c:invertIfNegative val="0"/>
          <c:cat>
            <c:strRef>
              <c:f>Analysis!$B$7:$B$14</c:f>
              <c:strCache>
                <c:ptCount val="8"/>
                <c:pt idx="0">
                  <c:v>SKU1</c:v>
                </c:pt>
                <c:pt idx="1">
                  <c:v>SKU12</c:v>
                </c:pt>
                <c:pt idx="2">
                  <c:v>SKU14</c:v>
                </c:pt>
                <c:pt idx="3">
                  <c:v>SKU39</c:v>
                </c:pt>
                <c:pt idx="4">
                  <c:v>SKU77</c:v>
                </c:pt>
                <c:pt idx="5">
                  <c:v>SKU42</c:v>
                </c:pt>
                <c:pt idx="6">
                  <c:v>SKU5</c:v>
                </c:pt>
                <c:pt idx="7">
                  <c:v>SKU9</c:v>
                </c:pt>
              </c:strCache>
            </c:strRef>
          </c:cat>
          <c:val>
            <c:numRef>
              <c:f>Analysis!$C$7:$C$14</c:f>
              <c:numCache>
                <c:formatCode>General</c:formatCode>
                <c:ptCount val="8"/>
                <c:pt idx="0">
                  <c:v>30</c:v>
                </c:pt>
                <c:pt idx="1">
                  <c:v>30</c:v>
                </c:pt>
                <c:pt idx="2">
                  <c:v>29</c:v>
                </c:pt>
                <c:pt idx="3">
                  <c:v>29</c:v>
                </c:pt>
                <c:pt idx="4">
                  <c:v>28</c:v>
                </c:pt>
                <c:pt idx="5">
                  <c:v>27</c:v>
                </c:pt>
                <c:pt idx="6">
                  <c:v>27</c:v>
                </c:pt>
                <c:pt idx="7">
                  <c:v>27</c:v>
                </c:pt>
              </c:numCache>
            </c:numRef>
          </c:val>
          <c:extLst>
            <c:ext xmlns:c16="http://schemas.microsoft.com/office/drawing/2014/chart" uri="{C3380CC4-5D6E-409C-BE32-E72D297353CC}">
              <c16:uniqueId val="{00000000-F4EB-4AF6-BDD4-1C8E18F4FE93}"/>
            </c:ext>
          </c:extLst>
        </c:ser>
        <c:ser>
          <c:idx val="1"/>
          <c:order val="1"/>
          <c:tx>
            <c:strRef>
              <c:f>Analysis!$D$6</c:f>
              <c:strCache>
                <c:ptCount val="1"/>
                <c:pt idx="0">
                  <c:v>Average of Shipping Time</c:v>
                </c:pt>
              </c:strCache>
            </c:strRef>
          </c:tx>
          <c:spPr>
            <a:solidFill>
              <a:srgbClr val="FF9800"/>
            </a:solidFill>
            <a:ln>
              <a:noFill/>
            </a:ln>
            <a:effectLst/>
          </c:spPr>
          <c:invertIfNegative val="0"/>
          <c:cat>
            <c:strRef>
              <c:f>Analysis!$B$7:$B$14</c:f>
              <c:strCache>
                <c:ptCount val="8"/>
                <c:pt idx="0">
                  <c:v>SKU1</c:v>
                </c:pt>
                <c:pt idx="1">
                  <c:v>SKU12</c:v>
                </c:pt>
                <c:pt idx="2">
                  <c:v>SKU14</c:v>
                </c:pt>
                <c:pt idx="3">
                  <c:v>SKU39</c:v>
                </c:pt>
                <c:pt idx="4">
                  <c:v>SKU77</c:v>
                </c:pt>
                <c:pt idx="5">
                  <c:v>SKU42</c:v>
                </c:pt>
                <c:pt idx="6">
                  <c:v>SKU5</c:v>
                </c:pt>
                <c:pt idx="7">
                  <c:v>SKU9</c:v>
                </c:pt>
              </c:strCache>
            </c:strRef>
          </c:cat>
          <c:val>
            <c:numRef>
              <c:f>Analysis!$D$7:$D$14</c:f>
              <c:numCache>
                <c:formatCode>General</c:formatCode>
                <c:ptCount val="8"/>
                <c:pt idx="0">
                  <c:v>2</c:v>
                </c:pt>
                <c:pt idx="1">
                  <c:v>4</c:v>
                </c:pt>
                <c:pt idx="2">
                  <c:v>5</c:v>
                </c:pt>
                <c:pt idx="3">
                  <c:v>3</c:v>
                </c:pt>
                <c:pt idx="4">
                  <c:v>4</c:v>
                </c:pt>
                <c:pt idx="5">
                  <c:v>4</c:v>
                </c:pt>
                <c:pt idx="6">
                  <c:v>3</c:v>
                </c:pt>
                <c:pt idx="7">
                  <c:v>1</c:v>
                </c:pt>
              </c:numCache>
            </c:numRef>
          </c:val>
          <c:extLst>
            <c:ext xmlns:c16="http://schemas.microsoft.com/office/drawing/2014/chart" uri="{C3380CC4-5D6E-409C-BE32-E72D297353CC}">
              <c16:uniqueId val="{00000001-F4EB-4AF6-BDD4-1C8E18F4FE93}"/>
            </c:ext>
          </c:extLst>
        </c:ser>
        <c:dLbls>
          <c:showLegendKey val="0"/>
          <c:showVal val="0"/>
          <c:showCatName val="0"/>
          <c:showSerName val="0"/>
          <c:showPercent val="0"/>
          <c:showBubbleSize val="0"/>
        </c:dLbls>
        <c:gapWidth val="219"/>
        <c:overlap val="-27"/>
        <c:axId val="823555423"/>
        <c:axId val="823551583"/>
      </c:barChart>
      <c:catAx>
        <c:axId val="82355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crossAx val="823551583"/>
        <c:crosses val="autoZero"/>
        <c:auto val="1"/>
        <c:lblAlgn val="ctr"/>
        <c:lblOffset val="100"/>
        <c:noMultiLvlLbl val="0"/>
      </c:catAx>
      <c:valAx>
        <c:axId val="82355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crossAx val="823555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E4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92494</xdr:colOff>
      <xdr:row>1</xdr:row>
      <xdr:rowOff>88341</xdr:rowOff>
    </xdr:from>
    <xdr:to>
      <xdr:col>2</xdr:col>
      <xdr:colOff>338797</xdr:colOff>
      <xdr:row>3</xdr:row>
      <xdr:rowOff>110495</xdr:rowOff>
    </xdr:to>
    <xdr:grpSp>
      <xdr:nvGrpSpPr>
        <xdr:cNvPr id="32" name="Group 31">
          <a:extLst>
            <a:ext uri="{FF2B5EF4-FFF2-40B4-BE49-F238E27FC236}">
              <a16:creationId xmlns:a16="http://schemas.microsoft.com/office/drawing/2014/main" id="{896590D0-6D3C-6154-65A1-D9BE911BACF0}"/>
            </a:ext>
          </a:extLst>
        </xdr:cNvPr>
        <xdr:cNvGrpSpPr/>
      </xdr:nvGrpSpPr>
      <xdr:grpSpPr>
        <a:xfrm>
          <a:off x="92494" y="340132"/>
          <a:ext cx="1465503" cy="393215"/>
          <a:chOff x="50877" y="510957"/>
          <a:chExt cx="1465503" cy="387915"/>
        </a:xfrm>
      </xdr:grpSpPr>
      <xdr:grpSp>
        <xdr:nvGrpSpPr>
          <xdr:cNvPr id="14" name="Group 13">
            <a:extLst>
              <a:ext uri="{FF2B5EF4-FFF2-40B4-BE49-F238E27FC236}">
                <a16:creationId xmlns:a16="http://schemas.microsoft.com/office/drawing/2014/main" id="{45A216B3-E274-DBED-4333-2B99E8F62AE2}"/>
              </a:ext>
            </a:extLst>
          </xdr:cNvPr>
          <xdr:cNvGrpSpPr/>
        </xdr:nvGrpSpPr>
        <xdr:grpSpPr>
          <a:xfrm>
            <a:off x="50877" y="558042"/>
            <a:ext cx="1463376" cy="340830"/>
            <a:chOff x="155652" y="364459"/>
            <a:chExt cx="1188720" cy="631717"/>
          </a:xfrm>
          <a:solidFill>
            <a:srgbClr val="2F3E46"/>
          </a:solidFill>
        </xdr:grpSpPr>
        <xdr:sp macro="" textlink="'risk_tolerance'!L2">
          <xdr:nvSpPr>
            <xdr:cNvPr id="7" name="Rectangle 6">
              <a:extLst>
                <a:ext uri="{FF2B5EF4-FFF2-40B4-BE49-F238E27FC236}">
                  <a16:creationId xmlns:a16="http://schemas.microsoft.com/office/drawing/2014/main" id="{C8F931FD-B123-31BF-1080-26C279D40E7A}"/>
                </a:ext>
              </a:extLst>
            </xdr:cNvPr>
            <xdr:cNvSpPr/>
          </xdr:nvSpPr>
          <xdr:spPr>
            <a:xfrm>
              <a:off x="155652" y="572615"/>
              <a:ext cx="1188720" cy="42356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3576FA-9870-41F0-9E06-B04FFE7A9AA3}" type="TxLink">
                <a:rPr lang="en-US" sz="1200" b="0" i="0" u="none" strike="noStrike">
                  <a:solidFill>
                    <a:srgbClr val="FFFFFF"/>
                  </a:solidFill>
                  <a:latin typeface="Calibri"/>
                  <a:ea typeface="Calibri"/>
                  <a:cs typeface="Calibri"/>
                </a:rPr>
                <a:pPr algn="ctr"/>
                <a:t>₱  2.28M</a:t>
              </a:fld>
              <a:endParaRPr lang="en-PH" sz="1200">
                <a:solidFill>
                  <a:srgbClr val="FFFFFF"/>
                </a:solidFill>
              </a:endParaRPr>
            </a:p>
          </xdr:txBody>
        </xdr:sp>
        <xdr:sp macro="" textlink="'risk_tolerance'!L1">
          <xdr:nvSpPr>
            <xdr:cNvPr id="2" name="Rectangle 1">
              <a:extLst>
                <a:ext uri="{FF2B5EF4-FFF2-40B4-BE49-F238E27FC236}">
                  <a16:creationId xmlns:a16="http://schemas.microsoft.com/office/drawing/2014/main" id="{699153D8-D03D-4372-BC8B-A15518F2DB04}"/>
                </a:ext>
              </a:extLst>
            </xdr:cNvPr>
            <xdr:cNvSpPr/>
          </xdr:nvSpPr>
          <xdr:spPr>
            <a:xfrm>
              <a:off x="155652" y="364459"/>
              <a:ext cx="1188720" cy="2116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475DAB-D161-47DF-BC59-825A12A5D790}" type="TxLink">
                <a:rPr lang="en-US" sz="1000" b="1" i="0" u="none" strike="noStrike">
                  <a:solidFill>
                    <a:srgbClr val="FFFFFF"/>
                  </a:solidFill>
                  <a:latin typeface="Calibri"/>
                  <a:ea typeface="Calibri"/>
                  <a:cs typeface="Calibri"/>
                </a:rPr>
                <a:pPr algn="ctr"/>
                <a:t>TOTAL PROFIT</a:t>
              </a:fld>
              <a:endParaRPr lang="en-PH" sz="1000"/>
            </a:p>
          </xdr:txBody>
        </xdr:sp>
      </xdr:grpSp>
      <xdr:sp macro="" textlink="">
        <xdr:nvSpPr>
          <xdr:cNvPr id="24" name="Rectangle 23">
            <a:extLst>
              <a:ext uri="{FF2B5EF4-FFF2-40B4-BE49-F238E27FC236}">
                <a16:creationId xmlns:a16="http://schemas.microsoft.com/office/drawing/2014/main" id="{F1D03739-A5E7-493E-BE7B-AF0FD3F84A77}"/>
              </a:ext>
            </a:extLst>
          </xdr:cNvPr>
          <xdr:cNvSpPr/>
        </xdr:nvSpPr>
        <xdr:spPr>
          <a:xfrm>
            <a:off x="51435" y="510957"/>
            <a:ext cx="1464945" cy="45719"/>
          </a:xfrm>
          <a:prstGeom prst="rect">
            <a:avLst/>
          </a:prstGeom>
          <a:solidFill>
            <a:srgbClr val="17C3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rgbClr val="FFFFFF"/>
              </a:solidFill>
              <a:latin typeface="Calibri"/>
              <a:ea typeface="Calibri"/>
              <a:cs typeface="Calibri"/>
            </a:endParaRPr>
          </a:p>
        </xdr:txBody>
      </xdr:sp>
    </xdr:grpSp>
    <xdr:clientData/>
  </xdr:twoCellAnchor>
  <xdr:twoCellAnchor>
    <xdr:from>
      <xdr:col>2</xdr:col>
      <xdr:colOff>367372</xdr:colOff>
      <xdr:row>1</xdr:row>
      <xdr:rowOff>88341</xdr:rowOff>
    </xdr:from>
    <xdr:to>
      <xdr:col>5</xdr:col>
      <xdr:colOff>3517</xdr:colOff>
      <xdr:row>3</xdr:row>
      <xdr:rowOff>109256</xdr:rowOff>
    </xdr:to>
    <xdr:grpSp>
      <xdr:nvGrpSpPr>
        <xdr:cNvPr id="31" name="Group 30">
          <a:extLst>
            <a:ext uri="{FF2B5EF4-FFF2-40B4-BE49-F238E27FC236}">
              <a16:creationId xmlns:a16="http://schemas.microsoft.com/office/drawing/2014/main" id="{52B930F0-1D81-72C7-EDA2-A01889BE6C89}"/>
            </a:ext>
          </a:extLst>
        </xdr:cNvPr>
        <xdr:cNvGrpSpPr/>
      </xdr:nvGrpSpPr>
      <xdr:grpSpPr>
        <a:xfrm>
          <a:off x="1586572" y="340132"/>
          <a:ext cx="1464945" cy="391976"/>
          <a:chOff x="1544955" y="510957"/>
          <a:chExt cx="1464945" cy="386676"/>
        </a:xfrm>
      </xdr:grpSpPr>
      <xdr:grpSp>
        <xdr:nvGrpSpPr>
          <xdr:cNvPr id="15" name="Group 14">
            <a:extLst>
              <a:ext uri="{FF2B5EF4-FFF2-40B4-BE49-F238E27FC236}">
                <a16:creationId xmlns:a16="http://schemas.microsoft.com/office/drawing/2014/main" id="{4B616681-681D-4D19-BED1-3DA0E1C818A9}"/>
              </a:ext>
            </a:extLst>
          </xdr:cNvPr>
          <xdr:cNvGrpSpPr/>
        </xdr:nvGrpSpPr>
        <xdr:grpSpPr>
          <a:xfrm>
            <a:off x="1545140" y="556803"/>
            <a:ext cx="1463376" cy="340830"/>
            <a:chOff x="155652" y="364459"/>
            <a:chExt cx="1188720" cy="631717"/>
          </a:xfrm>
          <a:solidFill>
            <a:srgbClr val="2F3E46"/>
          </a:solidFill>
        </xdr:grpSpPr>
        <xdr:sp macro="" textlink="'risk_tolerance'!M2">
          <xdr:nvSpPr>
            <xdr:cNvPr id="16" name="Rectangle 15">
              <a:extLst>
                <a:ext uri="{FF2B5EF4-FFF2-40B4-BE49-F238E27FC236}">
                  <a16:creationId xmlns:a16="http://schemas.microsoft.com/office/drawing/2014/main" id="{580CC04B-57DD-D263-CB25-73E34FAAB0AD}"/>
                </a:ext>
              </a:extLst>
            </xdr:cNvPr>
            <xdr:cNvSpPr/>
          </xdr:nvSpPr>
          <xdr:spPr>
            <a:xfrm>
              <a:off x="155652" y="572615"/>
              <a:ext cx="1188720" cy="42356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8A031B-ABD9-4E4C-9F88-9EBB11986640}" type="TxLink">
                <a:rPr lang="en-US" sz="1100" b="0" i="0" u="none" strike="noStrike">
                  <a:solidFill>
                    <a:srgbClr val="FFFFFF"/>
                  </a:solidFill>
                  <a:latin typeface="Calibri"/>
                  <a:ea typeface="Calibri"/>
                  <a:cs typeface="Calibri"/>
                </a:rPr>
                <a:pPr algn="ctr"/>
                <a:t> 100 </a:t>
              </a:fld>
              <a:endParaRPr lang="en-PH" sz="1100">
                <a:solidFill>
                  <a:srgbClr val="FFFFFF"/>
                </a:solidFill>
              </a:endParaRPr>
            </a:p>
          </xdr:txBody>
        </xdr:sp>
        <xdr:sp macro="" textlink="'risk_tolerance'!M1">
          <xdr:nvSpPr>
            <xdr:cNvPr id="17" name="Rectangle 16">
              <a:extLst>
                <a:ext uri="{FF2B5EF4-FFF2-40B4-BE49-F238E27FC236}">
                  <a16:creationId xmlns:a16="http://schemas.microsoft.com/office/drawing/2014/main" id="{1BA8DD1E-D7F6-6C93-293C-329AB1D8E3E4}"/>
                </a:ext>
              </a:extLst>
            </xdr:cNvPr>
            <xdr:cNvSpPr/>
          </xdr:nvSpPr>
          <xdr:spPr>
            <a:xfrm>
              <a:off x="155652" y="364459"/>
              <a:ext cx="1188720" cy="2116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BB636F-7AD1-4692-ACE4-2156C3C7C8D1}" type="TxLink">
                <a:rPr lang="en-US" sz="1100" b="1" i="0" u="none" strike="noStrike">
                  <a:solidFill>
                    <a:srgbClr val="FFFFFF"/>
                  </a:solidFill>
                  <a:latin typeface="Calibri"/>
                  <a:ea typeface="Calibri"/>
                  <a:cs typeface="Calibri"/>
                </a:rPr>
                <a:pPr algn="ctr"/>
                <a:t>SKU COUNT</a:t>
              </a:fld>
              <a:endParaRPr lang="en-PH" sz="1100"/>
            </a:p>
          </xdr:txBody>
        </xdr:sp>
      </xdr:grpSp>
      <xdr:sp macro="" textlink="">
        <xdr:nvSpPr>
          <xdr:cNvPr id="25" name="Rectangle 24">
            <a:extLst>
              <a:ext uri="{FF2B5EF4-FFF2-40B4-BE49-F238E27FC236}">
                <a16:creationId xmlns:a16="http://schemas.microsoft.com/office/drawing/2014/main" id="{BF96DAFF-4DA9-4DEE-98FC-CE4E0622AC56}"/>
              </a:ext>
            </a:extLst>
          </xdr:cNvPr>
          <xdr:cNvSpPr/>
        </xdr:nvSpPr>
        <xdr:spPr>
          <a:xfrm>
            <a:off x="1544955" y="510957"/>
            <a:ext cx="1464945" cy="45719"/>
          </a:xfrm>
          <a:prstGeom prst="rect">
            <a:avLst/>
          </a:prstGeom>
          <a:solidFill>
            <a:srgbClr val="17C3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rgbClr val="FFFFFF"/>
              </a:solidFill>
              <a:latin typeface="Calibri"/>
              <a:ea typeface="Calibri"/>
              <a:cs typeface="Calibri"/>
            </a:endParaRPr>
          </a:p>
        </xdr:txBody>
      </xdr:sp>
    </xdr:grpSp>
    <xdr:clientData/>
  </xdr:twoCellAnchor>
  <xdr:twoCellAnchor>
    <xdr:from>
      <xdr:col>5</xdr:col>
      <xdr:colOff>32092</xdr:colOff>
      <xdr:row>1</xdr:row>
      <xdr:rowOff>88341</xdr:rowOff>
    </xdr:from>
    <xdr:to>
      <xdr:col>7</xdr:col>
      <xdr:colOff>277837</xdr:colOff>
      <xdr:row>3</xdr:row>
      <xdr:rowOff>108017</xdr:rowOff>
    </xdr:to>
    <xdr:grpSp>
      <xdr:nvGrpSpPr>
        <xdr:cNvPr id="30" name="Group 29">
          <a:extLst>
            <a:ext uri="{FF2B5EF4-FFF2-40B4-BE49-F238E27FC236}">
              <a16:creationId xmlns:a16="http://schemas.microsoft.com/office/drawing/2014/main" id="{C1C4C6FC-7FBC-2BF9-A5C5-9D1877CCB911}"/>
            </a:ext>
          </a:extLst>
        </xdr:cNvPr>
        <xdr:cNvGrpSpPr/>
      </xdr:nvGrpSpPr>
      <xdr:grpSpPr>
        <a:xfrm>
          <a:off x="3080092" y="340132"/>
          <a:ext cx="1464945" cy="390737"/>
          <a:chOff x="3038475" y="510957"/>
          <a:chExt cx="1464945" cy="385437"/>
        </a:xfrm>
      </xdr:grpSpPr>
      <xdr:grpSp>
        <xdr:nvGrpSpPr>
          <xdr:cNvPr id="18" name="Group 17">
            <a:extLst>
              <a:ext uri="{FF2B5EF4-FFF2-40B4-BE49-F238E27FC236}">
                <a16:creationId xmlns:a16="http://schemas.microsoft.com/office/drawing/2014/main" id="{11D9CAA3-B2BF-4D67-9FCA-FFD03EA32E1A}"/>
              </a:ext>
            </a:extLst>
          </xdr:cNvPr>
          <xdr:cNvGrpSpPr/>
        </xdr:nvGrpSpPr>
        <xdr:grpSpPr>
          <a:xfrm>
            <a:off x="3039403" y="555564"/>
            <a:ext cx="1463376" cy="340830"/>
            <a:chOff x="155652" y="364459"/>
            <a:chExt cx="1188720" cy="631717"/>
          </a:xfrm>
          <a:solidFill>
            <a:srgbClr val="2F3E46"/>
          </a:solidFill>
        </xdr:grpSpPr>
        <xdr:sp macro="" textlink="'risk_tolerance'!K2">
          <xdr:nvSpPr>
            <xdr:cNvPr id="19" name="Rectangle 18">
              <a:extLst>
                <a:ext uri="{FF2B5EF4-FFF2-40B4-BE49-F238E27FC236}">
                  <a16:creationId xmlns:a16="http://schemas.microsoft.com/office/drawing/2014/main" id="{6B8489F1-FA68-88E6-778A-6457B582158A}"/>
                </a:ext>
              </a:extLst>
            </xdr:cNvPr>
            <xdr:cNvSpPr/>
          </xdr:nvSpPr>
          <xdr:spPr>
            <a:xfrm>
              <a:off x="155652" y="572615"/>
              <a:ext cx="1188720" cy="42356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DBE5D8-908A-4E2C-8A1C-8CD9B3F92B6B}" type="TxLink">
                <a:rPr lang="en-US" sz="1100" b="0" i="0" u="none" strike="noStrike">
                  <a:solidFill>
                    <a:srgbClr val="FFFFFF"/>
                  </a:solidFill>
                  <a:latin typeface="Calibri"/>
                  <a:ea typeface="Calibri"/>
                  <a:cs typeface="Calibri"/>
                </a:rPr>
                <a:pPr algn="ctr"/>
                <a:t>92.188</a:t>
              </a:fld>
              <a:endParaRPr lang="en-PH" sz="1100">
                <a:solidFill>
                  <a:srgbClr val="FFFFFF"/>
                </a:solidFill>
              </a:endParaRPr>
            </a:p>
          </xdr:txBody>
        </xdr:sp>
        <xdr:sp macro="" textlink="'risk_tolerance'!K1">
          <xdr:nvSpPr>
            <xdr:cNvPr id="20" name="Rectangle 19">
              <a:extLst>
                <a:ext uri="{FF2B5EF4-FFF2-40B4-BE49-F238E27FC236}">
                  <a16:creationId xmlns:a16="http://schemas.microsoft.com/office/drawing/2014/main" id="{BF3C2306-5327-2AF3-8989-33FB74376FF5}"/>
                </a:ext>
              </a:extLst>
            </xdr:cNvPr>
            <xdr:cNvSpPr/>
          </xdr:nvSpPr>
          <xdr:spPr>
            <a:xfrm>
              <a:off x="155652" y="364459"/>
              <a:ext cx="1188720" cy="2116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5B979C-D1A6-4988-8E52-D2173BEE1206}" type="TxLink">
                <a:rPr lang="en-US" sz="1100" b="1" i="0" u="none" strike="noStrike">
                  <a:solidFill>
                    <a:srgbClr val="FFFFFF"/>
                  </a:solidFill>
                  <a:latin typeface="Calibri"/>
                  <a:ea typeface="Calibri"/>
                  <a:cs typeface="Calibri"/>
                </a:rPr>
                <a:pPr algn="ctr"/>
                <a:t>AVG RISK SCORE</a:t>
              </a:fld>
              <a:endParaRPr lang="en-PH" sz="1100"/>
            </a:p>
          </xdr:txBody>
        </xdr:sp>
      </xdr:grpSp>
      <xdr:sp macro="" textlink="">
        <xdr:nvSpPr>
          <xdr:cNvPr id="26" name="Rectangle 25">
            <a:extLst>
              <a:ext uri="{FF2B5EF4-FFF2-40B4-BE49-F238E27FC236}">
                <a16:creationId xmlns:a16="http://schemas.microsoft.com/office/drawing/2014/main" id="{119AD2C6-AC6B-4A9C-A5DC-449A38B6F6AC}"/>
              </a:ext>
            </a:extLst>
          </xdr:cNvPr>
          <xdr:cNvSpPr/>
        </xdr:nvSpPr>
        <xdr:spPr>
          <a:xfrm>
            <a:off x="3038475" y="510957"/>
            <a:ext cx="1464945" cy="45719"/>
          </a:xfrm>
          <a:prstGeom prst="rect">
            <a:avLst/>
          </a:prstGeom>
          <a:solidFill>
            <a:srgbClr val="17C3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rgbClr val="FFFFFF"/>
              </a:solidFill>
              <a:latin typeface="Calibri"/>
              <a:ea typeface="Calibri"/>
              <a:cs typeface="Calibri"/>
            </a:endParaRPr>
          </a:p>
        </xdr:txBody>
      </xdr:sp>
    </xdr:grpSp>
    <xdr:clientData/>
  </xdr:twoCellAnchor>
  <xdr:twoCellAnchor>
    <xdr:from>
      <xdr:col>7</xdr:col>
      <xdr:colOff>308084</xdr:colOff>
      <xdr:row>1</xdr:row>
      <xdr:rowOff>90246</xdr:rowOff>
    </xdr:from>
    <xdr:to>
      <xdr:col>9</xdr:col>
      <xdr:colOff>555967</xdr:colOff>
      <xdr:row>3</xdr:row>
      <xdr:rowOff>111735</xdr:rowOff>
    </xdr:to>
    <xdr:grpSp>
      <xdr:nvGrpSpPr>
        <xdr:cNvPr id="28" name="Group 27">
          <a:extLst>
            <a:ext uri="{FF2B5EF4-FFF2-40B4-BE49-F238E27FC236}">
              <a16:creationId xmlns:a16="http://schemas.microsoft.com/office/drawing/2014/main" id="{A72FC30B-621B-A59E-6212-1C6B0F8DF2F5}"/>
            </a:ext>
          </a:extLst>
        </xdr:cNvPr>
        <xdr:cNvGrpSpPr/>
      </xdr:nvGrpSpPr>
      <xdr:grpSpPr>
        <a:xfrm>
          <a:off x="4575284" y="342037"/>
          <a:ext cx="1467083" cy="392550"/>
          <a:chOff x="4533667" y="512862"/>
          <a:chExt cx="1467083" cy="387250"/>
        </a:xfrm>
      </xdr:grpSpPr>
      <xdr:grpSp>
        <xdr:nvGrpSpPr>
          <xdr:cNvPr id="21" name="Group 20">
            <a:extLst>
              <a:ext uri="{FF2B5EF4-FFF2-40B4-BE49-F238E27FC236}">
                <a16:creationId xmlns:a16="http://schemas.microsoft.com/office/drawing/2014/main" id="{4DA42A6D-8CC3-4B19-A49E-4D3BD4A4517E}"/>
              </a:ext>
            </a:extLst>
          </xdr:cNvPr>
          <xdr:cNvGrpSpPr/>
        </xdr:nvGrpSpPr>
        <xdr:grpSpPr>
          <a:xfrm>
            <a:off x="4533667" y="559282"/>
            <a:ext cx="1463376" cy="340830"/>
            <a:chOff x="155652" y="364459"/>
            <a:chExt cx="1188720" cy="631717"/>
          </a:xfrm>
          <a:solidFill>
            <a:srgbClr val="2F3E46"/>
          </a:solidFill>
        </xdr:grpSpPr>
        <xdr:sp macro="" textlink="'profit_vs_risk scenario5'!L2">
          <xdr:nvSpPr>
            <xdr:cNvPr id="22" name="Rectangle 21">
              <a:extLst>
                <a:ext uri="{FF2B5EF4-FFF2-40B4-BE49-F238E27FC236}">
                  <a16:creationId xmlns:a16="http://schemas.microsoft.com/office/drawing/2014/main" id="{1EFB2284-1867-94D5-273F-162A716D3340}"/>
                </a:ext>
              </a:extLst>
            </xdr:cNvPr>
            <xdr:cNvSpPr/>
          </xdr:nvSpPr>
          <xdr:spPr>
            <a:xfrm>
              <a:off x="155652" y="572615"/>
              <a:ext cx="1188720" cy="42356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DD15CA-CC96-4B8F-8DBC-0CEF82F837E0}" type="TxLink">
                <a:rPr lang="en-US" sz="1100" b="0" i="0" u="none" strike="noStrike">
                  <a:solidFill>
                    <a:srgbClr val="FFFFFF"/>
                  </a:solidFill>
                  <a:latin typeface="Calibri"/>
                  <a:ea typeface="Calibri"/>
                  <a:cs typeface="Calibri"/>
                </a:rPr>
                <a:pPr algn="ctr"/>
                <a:t>₱  2.39K</a:t>
              </a:fld>
              <a:endParaRPr lang="en-PH" sz="1100">
                <a:solidFill>
                  <a:srgbClr val="FFFFFF"/>
                </a:solidFill>
              </a:endParaRPr>
            </a:p>
          </xdr:txBody>
        </xdr:sp>
        <xdr:sp macro="" textlink="'profit_vs_risk scenario5'!L1">
          <xdr:nvSpPr>
            <xdr:cNvPr id="23" name="Rectangle 22">
              <a:extLst>
                <a:ext uri="{FF2B5EF4-FFF2-40B4-BE49-F238E27FC236}">
                  <a16:creationId xmlns:a16="http://schemas.microsoft.com/office/drawing/2014/main" id="{DDE8179E-6961-1ED4-BFE7-DE2F0A3A0164}"/>
                </a:ext>
              </a:extLst>
            </xdr:cNvPr>
            <xdr:cNvSpPr/>
          </xdr:nvSpPr>
          <xdr:spPr>
            <a:xfrm>
              <a:off x="155652" y="364459"/>
              <a:ext cx="1188720" cy="21168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5560DB-9379-4284-AFA8-69CE34758854}" type="TxLink">
                <a:rPr lang="en-US" sz="1100" b="1" i="0" u="none" strike="noStrike">
                  <a:solidFill>
                    <a:srgbClr val="FFFFFF"/>
                  </a:solidFill>
                  <a:latin typeface="Calibri"/>
                  <a:ea typeface="Calibri"/>
                  <a:cs typeface="Calibri"/>
                </a:rPr>
                <a:pPr algn="ctr"/>
                <a:t>AVG PRIORITY SCORE</a:t>
              </a:fld>
              <a:endParaRPr lang="en-PH" sz="1100"/>
            </a:p>
          </xdr:txBody>
        </xdr:sp>
      </xdr:grpSp>
      <xdr:sp macro="" textlink="">
        <xdr:nvSpPr>
          <xdr:cNvPr id="27" name="Rectangle 26">
            <a:extLst>
              <a:ext uri="{FF2B5EF4-FFF2-40B4-BE49-F238E27FC236}">
                <a16:creationId xmlns:a16="http://schemas.microsoft.com/office/drawing/2014/main" id="{B70EBCF4-08ED-4F42-93A0-17F217329571}"/>
              </a:ext>
            </a:extLst>
          </xdr:cNvPr>
          <xdr:cNvSpPr/>
        </xdr:nvSpPr>
        <xdr:spPr>
          <a:xfrm>
            <a:off x="4535805" y="512862"/>
            <a:ext cx="1464945" cy="45719"/>
          </a:xfrm>
          <a:prstGeom prst="rect">
            <a:avLst/>
          </a:prstGeom>
          <a:solidFill>
            <a:srgbClr val="17C3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i="0" u="none" strike="noStrike">
              <a:solidFill>
                <a:srgbClr val="FFFFFF"/>
              </a:solidFill>
              <a:latin typeface="Calibri"/>
              <a:ea typeface="Calibri"/>
              <a:cs typeface="Calibri"/>
            </a:endParaRPr>
          </a:p>
        </xdr:txBody>
      </xdr:sp>
    </xdr:grpSp>
    <xdr:clientData/>
  </xdr:twoCellAnchor>
  <xdr:twoCellAnchor>
    <xdr:from>
      <xdr:col>0</xdr:col>
      <xdr:colOff>106680</xdr:colOff>
      <xdr:row>4</xdr:row>
      <xdr:rowOff>199</xdr:rowOff>
    </xdr:from>
    <xdr:to>
      <xdr:col>7</xdr:col>
      <xdr:colOff>411480</xdr:colOff>
      <xdr:row>19</xdr:row>
      <xdr:rowOff>199</xdr:rowOff>
    </xdr:to>
    <xdr:graphicFrame macro="">
      <xdr:nvGraphicFramePr>
        <xdr:cNvPr id="9" name="Chart 8">
          <a:extLst>
            <a:ext uri="{FF2B5EF4-FFF2-40B4-BE49-F238E27FC236}">
              <a16:creationId xmlns:a16="http://schemas.microsoft.com/office/drawing/2014/main" id="{27F0336B-CCFD-4DB6-9D82-453F95472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102443</xdr:colOff>
      <xdr:row>19</xdr:row>
      <xdr:rowOff>65261</xdr:rowOff>
    </xdr:from>
    <xdr:to>
      <xdr:col>7</xdr:col>
      <xdr:colOff>407243</xdr:colOff>
      <xdr:row>34</xdr:row>
      <xdr:rowOff>21918</xdr:rowOff>
    </xdr:to>
    <xdr:graphicFrame macro="">
      <xdr:nvGraphicFramePr>
        <xdr:cNvPr id="11" name="Chart 10">
          <a:extLst>
            <a:ext uri="{FF2B5EF4-FFF2-40B4-BE49-F238E27FC236}">
              <a16:creationId xmlns:a16="http://schemas.microsoft.com/office/drawing/2014/main" id="{BDAA369A-19E1-495D-9619-546040FB1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479624</xdr:colOff>
      <xdr:row>4</xdr:row>
      <xdr:rowOff>7819</xdr:rowOff>
    </xdr:from>
    <xdr:to>
      <xdr:col>15</xdr:col>
      <xdr:colOff>174824</xdr:colOff>
      <xdr:row>19</xdr:row>
      <xdr:rowOff>7562</xdr:rowOff>
    </xdr:to>
    <xdr:graphicFrame macro="">
      <xdr:nvGraphicFramePr>
        <xdr:cNvPr id="12" name="Chart 11">
          <a:extLst>
            <a:ext uri="{FF2B5EF4-FFF2-40B4-BE49-F238E27FC236}">
              <a16:creationId xmlns:a16="http://schemas.microsoft.com/office/drawing/2014/main" id="{F3FFA5F4-A0A7-41F6-896C-879675950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96306</xdr:colOff>
      <xdr:row>34</xdr:row>
      <xdr:rowOff>94471</xdr:rowOff>
    </xdr:from>
    <xdr:to>
      <xdr:col>7</xdr:col>
      <xdr:colOff>401106</xdr:colOff>
      <xdr:row>49</xdr:row>
      <xdr:rowOff>52443</xdr:rowOff>
    </xdr:to>
    <xdr:graphicFrame macro="">
      <xdr:nvGraphicFramePr>
        <xdr:cNvPr id="13" name="Chart 12">
          <a:extLst>
            <a:ext uri="{FF2B5EF4-FFF2-40B4-BE49-F238E27FC236}">
              <a16:creationId xmlns:a16="http://schemas.microsoft.com/office/drawing/2014/main" id="{0F48DA61-798E-4A5F-9293-BB2FB72A2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476163</xdr:colOff>
      <xdr:row>34</xdr:row>
      <xdr:rowOff>92983</xdr:rowOff>
    </xdr:from>
    <xdr:to>
      <xdr:col>15</xdr:col>
      <xdr:colOff>171363</xdr:colOff>
      <xdr:row>49</xdr:row>
      <xdr:rowOff>50955</xdr:rowOff>
    </xdr:to>
    <xdr:graphicFrame macro="">
      <xdr:nvGraphicFramePr>
        <xdr:cNvPr id="29" name="Chart 28">
          <a:extLst>
            <a:ext uri="{FF2B5EF4-FFF2-40B4-BE49-F238E27FC236}">
              <a16:creationId xmlns:a16="http://schemas.microsoft.com/office/drawing/2014/main" id="{0D565EC8-36D9-4910-9C6B-729CDCFE0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477126</xdr:colOff>
      <xdr:row>19</xdr:row>
      <xdr:rowOff>66437</xdr:rowOff>
    </xdr:from>
    <xdr:to>
      <xdr:col>15</xdr:col>
      <xdr:colOff>176808</xdr:colOff>
      <xdr:row>34</xdr:row>
      <xdr:rowOff>23237</xdr:rowOff>
    </xdr:to>
    <xdr:graphicFrame macro="">
      <xdr:nvGraphicFramePr>
        <xdr:cNvPr id="33" name="Chart 32">
          <a:extLst>
            <a:ext uri="{FF2B5EF4-FFF2-40B4-BE49-F238E27FC236}">
              <a16:creationId xmlns:a16="http://schemas.microsoft.com/office/drawing/2014/main" id="{142CE9F0-AC79-4D65-913D-2896E67E4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50074</xdr:colOff>
      <xdr:row>12</xdr:row>
      <xdr:rowOff>22860</xdr:rowOff>
    </xdr:from>
    <xdr:to>
      <xdr:col>23</xdr:col>
      <xdr:colOff>1269274</xdr:colOff>
      <xdr:row>17</xdr:row>
      <xdr:rowOff>91441</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A4C3CE03-FD43-4187-8B3E-C017D38E2BB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366882" y="2191629"/>
              <a:ext cx="1834661" cy="94781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xdr:colOff>
      <xdr:row>4</xdr:row>
      <xdr:rowOff>15239</xdr:rowOff>
    </xdr:from>
    <xdr:to>
      <xdr:col>23</xdr:col>
      <xdr:colOff>1285875</xdr:colOff>
      <xdr:row>12</xdr:row>
      <xdr:rowOff>2413</xdr:rowOff>
    </xdr:to>
    <mc:AlternateContent xmlns:mc="http://schemas.openxmlformats.org/markup-compatibility/2006" xmlns:a14="http://schemas.microsoft.com/office/drawing/2010/main">
      <mc:Choice Requires="a14">
        <xdr:graphicFrame macro="">
          <xdr:nvGraphicFramePr>
            <xdr:cNvPr id="35" name="Action 2">
              <a:extLst>
                <a:ext uri="{FF2B5EF4-FFF2-40B4-BE49-F238E27FC236}">
                  <a16:creationId xmlns:a16="http://schemas.microsoft.com/office/drawing/2014/main" id="{7EAF5C9A-1FBE-47F7-8337-B0725E47EE6E}"/>
                </a:ext>
              </a:extLst>
            </xdr:cNvPr>
            <xdr:cNvGraphicFramePr/>
          </xdr:nvGraphicFramePr>
          <xdr:xfrm>
            <a:off x="0" y="0"/>
            <a:ext cx="0" cy="0"/>
          </xdr:xfrm>
          <a:graphic>
            <a:graphicData uri="http://schemas.microsoft.com/office/drawing/2010/slicer">
              <sle:slicer xmlns:sle="http://schemas.microsoft.com/office/drawing/2010/slicer" name="Action 2"/>
            </a:graphicData>
          </a:graphic>
        </xdr:graphicFrame>
      </mc:Choice>
      <mc:Fallback xmlns="">
        <xdr:sp macro="" textlink="">
          <xdr:nvSpPr>
            <xdr:cNvPr id="0" name=""/>
            <xdr:cNvSpPr>
              <a:spLocks noTextEdit="1"/>
            </xdr:cNvSpPr>
          </xdr:nvSpPr>
          <xdr:spPr>
            <a:xfrm>
              <a:off x="14370148" y="777239"/>
              <a:ext cx="1847996" cy="139394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105511</xdr:colOff>
      <xdr:row>49</xdr:row>
      <xdr:rowOff>128950</xdr:rowOff>
    </xdr:from>
    <xdr:to>
      <xdr:col>15</xdr:col>
      <xdr:colOff>164123</xdr:colOff>
      <xdr:row>61</xdr:row>
      <xdr:rowOff>146538</xdr:rowOff>
    </xdr:to>
    <xdr:sp macro="" textlink="">
      <xdr:nvSpPr>
        <xdr:cNvPr id="37" name="Rectangle 36">
          <a:extLst>
            <a:ext uri="{FF2B5EF4-FFF2-40B4-BE49-F238E27FC236}">
              <a16:creationId xmlns:a16="http://schemas.microsoft.com/office/drawing/2014/main" id="{C6BF37D8-9CCC-CE30-CC06-B50BBC568594}"/>
            </a:ext>
          </a:extLst>
        </xdr:cNvPr>
        <xdr:cNvSpPr/>
      </xdr:nvSpPr>
      <xdr:spPr>
        <a:xfrm>
          <a:off x="105511" y="9079519"/>
          <a:ext cx="9202612" cy="2198081"/>
        </a:xfrm>
        <a:prstGeom prst="rect">
          <a:avLst/>
        </a:prstGeom>
        <a:solidFill>
          <a:srgbClr val="2F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1">
              <a:solidFill>
                <a:srgbClr val="FFFFFF"/>
              </a:solidFill>
            </a:rPr>
            <a:t>Insights:</a:t>
          </a:r>
        </a:p>
        <a:p>
          <a:pPr algn="l"/>
          <a:endParaRPr lang="en-PH" sz="1100">
            <a:solidFill>
              <a:srgbClr val="FFFFFF"/>
            </a:solidFill>
          </a:endParaRPr>
        </a:p>
        <a:p>
          <a:pPr algn="l"/>
          <a:r>
            <a:rPr lang="en-PH" sz="1100" b="1">
              <a:solidFill>
                <a:srgbClr val="FFFFFF"/>
              </a:solidFill>
            </a:rPr>
            <a:t>- Monitor action delivered the highest profit contribution</a:t>
          </a:r>
          <a:r>
            <a:rPr lang="en-PH" sz="1100">
              <a:solidFill>
                <a:srgbClr val="FFFFFF"/>
              </a:solidFill>
            </a:rPr>
            <a:t> (~₱1.17M), making it the strongest operational strategy.</a:t>
          </a:r>
        </a:p>
        <a:p>
          <a:pPr algn="l"/>
          <a:r>
            <a:rPr lang="en-PH" sz="1100" b="1">
              <a:solidFill>
                <a:srgbClr val="FFFFFF"/>
              </a:solidFill>
            </a:rPr>
            <a:t>- Scale action ranked second in profitability</a:t>
          </a:r>
          <a:r>
            <a:rPr lang="en-PH" sz="1100">
              <a:solidFill>
                <a:srgbClr val="FFFFFF"/>
              </a:solidFill>
            </a:rPr>
            <a:t> with approximately </a:t>
          </a:r>
          <a:r>
            <a:rPr lang="en-PH" sz="1100" b="1">
              <a:solidFill>
                <a:srgbClr val="FFFFFF"/>
              </a:solidFill>
            </a:rPr>
            <a:t>₱856K</a:t>
          </a:r>
          <a:r>
            <a:rPr lang="en-PH" sz="1100">
              <a:solidFill>
                <a:srgbClr val="FFFFFF"/>
              </a:solidFill>
            </a:rPr>
            <a:t>, showing strong growth potential.</a:t>
          </a:r>
        </a:p>
        <a:p>
          <a:pPr algn="l"/>
          <a:r>
            <a:rPr lang="en-PH" sz="1100" b="1">
              <a:solidFill>
                <a:srgbClr val="FFFFFF"/>
              </a:solidFill>
            </a:rPr>
            <a:t>- High Profit – High Risk SKUs generated the largest returns</a:t>
          </a:r>
          <a:r>
            <a:rPr lang="en-PH" sz="1100">
              <a:solidFill>
                <a:srgbClr val="FFFFFF"/>
              </a:solidFill>
            </a:rPr>
            <a:t>, indicating that riskier products drove most revenue.</a:t>
          </a:r>
        </a:p>
        <a:p>
          <a:pPr algn="l"/>
          <a:r>
            <a:rPr lang="en-PH" sz="1100" b="1">
              <a:solidFill>
                <a:srgbClr val="FFFFFF"/>
              </a:solidFill>
            </a:rPr>
            <a:t>- Low Profit – Low Risk SKUs contributed the least profit</a:t>
          </a:r>
          <a:r>
            <a:rPr lang="en-PH" sz="1100">
              <a:solidFill>
                <a:srgbClr val="FFFFFF"/>
              </a:solidFill>
            </a:rPr>
            <a:t>, showing limited financial impact from conservative strategies.</a:t>
          </a:r>
        </a:p>
        <a:p>
          <a:pPr algn="l"/>
          <a:r>
            <a:rPr lang="en-PH" sz="1100" b="1">
              <a:solidFill>
                <a:srgbClr val="FFFFFF"/>
              </a:solidFill>
            </a:rPr>
            <a:t>- Shipping lead times were consistently higher than expected lead times</a:t>
          </a:r>
          <a:r>
            <a:rPr lang="en-PH" sz="1100">
              <a:solidFill>
                <a:srgbClr val="FFFFFF"/>
              </a:solidFill>
            </a:rPr>
            <a:t>, suggesting operational or logistics delays.</a:t>
          </a:r>
        </a:p>
        <a:p>
          <a:pPr algn="l"/>
          <a:r>
            <a:rPr lang="en-PH" sz="1100" b="1">
              <a:solidFill>
                <a:srgbClr val="FFFFFF"/>
              </a:solidFill>
            </a:rPr>
            <a:t>- Supplier 1 managed the highest SKU volume</a:t>
          </a:r>
          <a:r>
            <a:rPr lang="en-PH" sz="1100">
              <a:solidFill>
                <a:srgbClr val="FFFFFF"/>
              </a:solidFill>
            </a:rPr>
            <a:t> while also maintaining the </a:t>
          </a:r>
          <a:r>
            <a:rPr lang="en-PH" sz="1100" b="1">
              <a:solidFill>
                <a:srgbClr val="FFFFFF"/>
              </a:solidFill>
            </a:rPr>
            <a:t>lowest defect rate</a:t>
          </a:r>
          <a:r>
            <a:rPr lang="en-PH" sz="1100">
              <a:solidFill>
                <a:srgbClr val="FFFFFF"/>
              </a:solidFill>
            </a:rPr>
            <a:t>, making it the most reliable supplier.</a:t>
          </a:r>
        </a:p>
        <a:p>
          <a:pPr algn="l"/>
          <a:r>
            <a:rPr lang="en-PH" sz="1100" b="1">
              <a:solidFill>
                <a:srgbClr val="FFFFFF"/>
              </a:solidFill>
            </a:rPr>
            <a:t>- Supplier 5 recorded the highest defect rate</a:t>
          </a:r>
          <a:r>
            <a:rPr lang="en-PH" sz="1100">
              <a:solidFill>
                <a:srgbClr val="FFFFFF"/>
              </a:solidFill>
            </a:rPr>
            <a:t>, indicating potential quality control concerns.</a:t>
          </a:r>
        </a:p>
        <a:p>
          <a:pPr algn="l"/>
          <a:r>
            <a:rPr lang="en-PH" sz="1100" b="1">
              <a:solidFill>
                <a:srgbClr val="FFFFFF"/>
              </a:solidFill>
            </a:rPr>
            <a:t>- Cost vs Profit analysis shows a generally positive relationship</a:t>
          </a:r>
          <a:r>
            <a:rPr lang="en-PH" sz="1100">
              <a:solidFill>
                <a:srgbClr val="FFFFFF"/>
              </a:solidFill>
            </a:rPr>
            <a:t>, where higher-cost SKUs often produced higher profits.</a:t>
          </a:r>
        </a:p>
        <a:p>
          <a:pPr algn="l"/>
          <a:r>
            <a:rPr lang="en-PH" sz="1100" b="1">
              <a:solidFill>
                <a:srgbClr val="FFFFFF"/>
              </a:solidFill>
            </a:rPr>
            <a:t>- Drop and Optimize actions generated the weakest profit performance</a:t>
          </a:r>
          <a:r>
            <a:rPr lang="en-PH" sz="1100">
              <a:solidFill>
                <a:srgbClr val="FFFFFF"/>
              </a:solidFill>
            </a:rPr>
            <a:t>, highlighting opportunities for operational improvement.</a:t>
          </a:r>
        </a:p>
        <a:p>
          <a:pPr algn="l"/>
          <a:r>
            <a:rPr lang="en-PH" sz="1100" b="1">
              <a:solidFill>
                <a:srgbClr val="FFFFFF"/>
              </a:solidFill>
            </a:rPr>
            <a:t>-</a:t>
          </a:r>
          <a:r>
            <a:rPr lang="en-PH" sz="1100" b="1" baseline="0">
              <a:solidFill>
                <a:srgbClr val="FFFFFF"/>
              </a:solidFill>
            </a:rPr>
            <a:t> </a:t>
          </a:r>
          <a:r>
            <a:rPr lang="en-PH" sz="1100" b="1">
              <a:solidFill>
                <a:srgbClr val="FFFFFF"/>
              </a:solidFill>
            </a:rPr>
            <a:t>Overall dashboard performance remained strong</a:t>
          </a:r>
          <a:r>
            <a:rPr lang="en-PH" sz="1100">
              <a:solidFill>
                <a:srgbClr val="FFFFFF"/>
              </a:solidFill>
            </a:rPr>
            <a:t>, with total profit exceeding </a:t>
          </a:r>
          <a:r>
            <a:rPr lang="en-PH" sz="1100" b="1">
              <a:solidFill>
                <a:srgbClr val="FFFFFF"/>
              </a:solidFill>
            </a:rPr>
            <a:t>₱2.28M across 100 analyzed SKUs</a:t>
          </a:r>
          <a:r>
            <a:rPr lang="en-PH" sz="1100">
              <a:solidFill>
                <a:srgbClr val="FFFFFF"/>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335280</xdr:colOff>
      <xdr:row>4</xdr:row>
      <xdr:rowOff>60961</xdr:rowOff>
    </xdr:from>
    <xdr:to>
      <xdr:col>22</xdr:col>
      <xdr:colOff>739140</xdr:colOff>
      <xdr:row>12</xdr:row>
      <xdr:rowOff>15241</xdr:rowOff>
    </xdr:to>
    <mc:AlternateContent xmlns:mc="http://schemas.openxmlformats.org/markup-compatibility/2006" xmlns:a14="http://schemas.microsoft.com/office/drawing/2010/main">
      <mc:Choice Requires="a14">
        <xdr:graphicFrame macro="">
          <xdr:nvGraphicFramePr>
            <xdr:cNvPr id="2" name="action">
              <a:extLst>
                <a:ext uri="{FF2B5EF4-FFF2-40B4-BE49-F238E27FC236}">
                  <a16:creationId xmlns:a16="http://schemas.microsoft.com/office/drawing/2014/main" id="{6AC318E8-10D7-2B0D-77B5-F282D26FFC89}"/>
                </a:ext>
              </a:extLst>
            </xdr:cNvPr>
            <xdr:cNvGraphicFramePr/>
          </xdr:nvGraphicFramePr>
          <xdr:xfrm>
            <a:off x="0" y="0"/>
            <a:ext cx="0" cy="0"/>
          </xdr:xfrm>
          <a:graphic>
            <a:graphicData uri="http://schemas.microsoft.com/office/drawing/2010/slicer">
              <sle:slicer xmlns:sle="http://schemas.microsoft.com/office/drawing/2010/slicer" name="action"/>
            </a:graphicData>
          </a:graphic>
        </xdr:graphicFrame>
      </mc:Choice>
      <mc:Fallback xmlns="">
        <xdr:sp macro="" textlink="">
          <xdr:nvSpPr>
            <xdr:cNvPr id="0" name=""/>
            <xdr:cNvSpPr>
              <a:spLocks noTextEdit="1"/>
            </xdr:cNvSpPr>
          </xdr:nvSpPr>
          <xdr:spPr>
            <a:xfrm>
              <a:off x="16146780" y="792481"/>
              <a:ext cx="1828800" cy="14173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487680</xdr:colOff>
      <xdr:row>4</xdr:row>
      <xdr:rowOff>91441</xdr:rowOff>
    </xdr:from>
    <xdr:to>
      <xdr:col>36</xdr:col>
      <xdr:colOff>121920</xdr:colOff>
      <xdr:row>9</xdr:row>
      <xdr:rowOff>160021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574BA25-97FE-1274-2801-4EAD1E8C6D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858720" y="822961"/>
              <a:ext cx="1828800" cy="9829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594360</xdr:colOff>
      <xdr:row>4</xdr:row>
      <xdr:rowOff>99060</xdr:rowOff>
    </xdr:from>
    <xdr:to>
      <xdr:col>32</xdr:col>
      <xdr:colOff>213360</xdr:colOff>
      <xdr:row>12</xdr:row>
      <xdr:rowOff>60959</xdr:rowOff>
    </xdr:to>
    <mc:AlternateContent xmlns:mc="http://schemas.openxmlformats.org/markup-compatibility/2006" xmlns:a14="http://schemas.microsoft.com/office/drawing/2010/main">
      <mc:Choice Requires="a14">
        <xdr:graphicFrame macro="">
          <xdr:nvGraphicFramePr>
            <xdr:cNvPr id="4" name="Action 1">
              <a:extLst>
                <a:ext uri="{FF2B5EF4-FFF2-40B4-BE49-F238E27FC236}">
                  <a16:creationId xmlns:a16="http://schemas.microsoft.com/office/drawing/2014/main" id="{5D73D609-60D8-4DB1-7C83-959688317762}"/>
                </a:ext>
              </a:extLst>
            </xdr:cNvPr>
            <xdr:cNvGraphicFramePr/>
          </xdr:nvGraphicFramePr>
          <xdr:xfrm>
            <a:off x="0" y="0"/>
            <a:ext cx="0" cy="0"/>
          </xdr:xfrm>
          <a:graphic>
            <a:graphicData uri="http://schemas.microsoft.com/office/drawing/2010/slicer">
              <sle:slicer xmlns:sle="http://schemas.microsoft.com/office/drawing/2010/slicer" name="Action 1"/>
            </a:graphicData>
          </a:graphic>
        </xdr:graphicFrame>
      </mc:Choice>
      <mc:Fallback xmlns="">
        <xdr:sp macro="" textlink="">
          <xdr:nvSpPr>
            <xdr:cNvPr id="0" name=""/>
            <xdr:cNvSpPr>
              <a:spLocks noTextEdit="1"/>
            </xdr:cNvSpPr>
          </xdr:nvSpPr>
          <xdr:spPr>
            <a:xfrm>
              <a:off x="25755600" y="830580"/>
              <a:ext cx="1828800" cy="142493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1.764321875002" createdVersion="8" refreshedVersion="8" minRefreshableVersion="3" recordCount="24" xr:uid="{7B288C72-B557-4DA8-B947-87B1FCD9644F}">
  <cacheSource type="worksheet">
    <worksheetSource name="shipping_lead_time"/>
  </cacheSource>
  <cacheFields count="3">
    <cacheField name="sku" numFmtId="0">
      <sharedItems count="24">
        <s v="SKU1"/>
        <s v="SKU5"/>
        <s v="SKU7"/>
        <s v="SKU9"/>
        <s v="SKU11"/>
        <s v="SKU12"/>
        <s v="SKU14"/>
        <s v="SKU26"/>
        <s v="SKU31"/>
        <s v="SKU36"/>
        <s v="SKU39"/>
        <s v="SKU42"/>
        <s v="SKU48"/>
        <s v="SKU53"/>
        <s v="SKU54"/>
        <s v="SKU56"/>
        <s v="SKU57"/>
        <s v="SKU63"/>
        <s v="SKU73"/>
        <s v="SKU77"/>
        <s v="SKU79"/>
        <s v="SKU82"/>
        <s v="SKU85"/>
        <s v="SKU93"/>
      </sharedItems>
    </cacheField>
    <cacheField name="shipping_time" numFmtId="0">
      <sharedItems containsSemiMixedTypes="0" containsString="0" containsNumber="1" containsInteger="1" minValue="1" maxValue="5"/>
    </cacheField>
    <cacheField name="shipping_lead_time" numFmtId="0">
      <sharedItems containsSemiMixedTypes="0" containsString="0" containsNumber="1" containsInteger="1" minValue="16" maxValue="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1.840463657405" createdVersion="8" refreshedVersion="8" minRefreshableVersion="3" recordCount="5" xr:uid="{908568D4-0291-4363-B412-B23720A0F06C}">
  <cacheSource type="worksheet">
    <worksheetSource name="defect_rate_per_supplier2"/>
  </cacheSource>
  <cacheFields count="3">
    <cacheField name="supplier_name" numFmtId="0">
      <sharedItems count="5">
        <s v="Supplier 5"/>
        <s v="Supplier 3"/>
        <s v="Supplier 2"/>
        <s v="Supplier 4"/>
        <s v="Supplier 1"/>
      </sharedItems>
    </cacheField>
    <cacheField name="avg_defect_rate" numFmtId="0">
      <sharedItems containsSemiMixedTypes="0" containsString="0" containsNumber="1" minValue="1.8" maxValue="2.67"/>
    </cacheField>
    <cacheField name="sku_count" numFmtId="0">
      <sharedItems containsSemiMixedTypes="0" containsString="0" containsNumber="1" containsInteger="1" minValue="15" maxValue="2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1.852892013892" createdVersion="8" refreshedVersion="8" minRefreshableVersion="3" recordCount="31" xr:uid="{4B0874B8-A1DD-4008-8026-3033F99BB2F8}">
  <cacheSource type="worksheet">
    <worksheetSource name="cost_vs_profit_analysis"/>
  </cacheSource>
  <cacheFields count="3">
    <cacheField name="sku" numFmtId="0">
      <sharedItems count="31">
        <s v="SKU10"/>
        <s v="SKU13"/>
        <s v="SKU15"/>
        <s v="SKU16"/>
        <s v="SKU19"/>
        <s v="SKU23"/>
        <s v="SKU25"/>
        <s v="SKU28"/>
        <s v="SKU30"/>
        <s v="SKU31"/>
        <s v="SKU4"/>
        <s v="SKU42"/>
        <s v="SKU45"/>
        <s v="SKU5"/>
        <s v="SKU53"/>
        <s v="SKU57"/>
        <s v="SKU60"/>
        <s v="SKU61"/>
        <s v="SKU68"/>
        <s v="SKU7"/>
        <s v="SKU74"/>
        <s v="SKU76"/>
        <s v="SKU78"/>
        <s v="SKU79"/>
        <s v="SKU85"/>
        <s v="SKU86"/>
        <s v="SKU89"/>
        <s v="SKU90"/>
        <s v="SKU92"/>
        <s v="SKU94"/>
        <s v="SKU97"/>
      </sharedItems>
    </cacheField>
    <cacheField name="cost" numFmtId="0">
      <sharedItems containsSemiMixedTypes="0" containsString="0" containsNumber="1" minValue="56.53" maxValue="107.37"/>
    </cacheField>
    <cacheField name="profit" numFmtId="0">
      <sharedItems containsSemiMixedTypes="0" containsString="0" containsNumber="1" minValue="144.94999999999999" maxValue="18198.4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3.67468773148" createdVersion="8" refreshedVersion="8" minRefreshableVersion="3" recordCount="100" xr:uid="{AC025EB9-417B-4573-BF79-7203752B3FD7}">
  <cacheSource type="worksheet">
    <worksheetSource name="risk_tolerance"/>
  </cacheSource>
  <cacheFields count="6">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total_profit" numFmtId="0">
      <sharedItems containsSemiMixedTypes="0" containsString="0" containsNumber="1" minValue="51.81" maxValue="87069.35"/>
    </cacheField>
    <cacheField name="risk_score" numFmtId="0">
      <sharedItems containsSemiMixedTypes="0" containsString="0" containsNumber="1" minValue="0.93" maxValue="290.61"/>
    </cacheField>
    <cacheField name="risk_tolerance" numFmtId="0">
      <sharedItems count="2">
        <s v="High Profit - Low Risk"/>
        <s v="High Profit - High Risk"/>
      </sharedItems>
    </cacheField>
    <cacheField name="quadrant" numFmtId="0">
      <sharedItems count="4">
        <s v="High Profit - Low Risk"/>
        <s v="Low Profit - High Risk"/>
        <s v="Low Profit - Low Risk"/>
        <s v="High Profit - High Risk"/>
      </sharedItems>
    </cacheField>
    <cacheField name="action" numFmtId="0">
      <sharedItems count="4">
        <s v="Scale"/>
        <s v="Drop"/>
        <s v="Optimize"/>
        <s v="Monitor"/>
      </sharedItems>
    </cacheField>
  </cacheFields>
  <extLst>
    <ext xmlns:x14="http://schemas.microsoft.com/office/spreadsheetml/2009/9/main" uri="{725AE2AE-9491-48be-B2B4-4EB974FC3084}">
      <x14:pivotCacheDefinition pivotCacheId="142255275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8.866380439817" createdVersion="8" refreshedVersion="8" minRefreshableVersion="3" recordCount="100" xr:uid="{0DBF297E-B359-44C7-AEDE-ECD24DDDEB1F}">
  <cacheSource type="worksheet">
    <worksheetSource name="profit_vs_risk_scenario5"/>
  </cacheSource>
  <cacheFields count="7">
    <cacheField name="sku" numFmtId="0">
      <sharedItems count="100">
        <s v="SKU11"/>
        <s v="SKU21"/>
        <s v="SKU41"/>
        <s v="SKU67"/>
        <s v="SKU14"/>
        <s v="SKU47"/>
        <s v="SKU0"/>
        <s v="SKU38"/>
        <s v="SKU17"/>
        <s v="SKU99"/>
        <s v="SKU91"/>
        <s v="SKU79"/>
        <s v="SKU59"/>
        <s v="SKU35"/>
        <s v="SKU52"/>
        <s v="SKU88"/>
        <s v="SKU69"/>
        <s v="SKU64"/>
        <s v="SKU80"/>
        <s v="SKU7"/>
        <s v="SKU83"/>
        <s v="SKU92"/>
        <s v="SKU95"/>
        <s v="SKU58"/>
        <s v="SKU34"/>
        <s v="SKU32"/>
        <s v="SKU74"/>
        <s v="SKU81"/>
        <s v="SKU44"/>
        <s v="SKU43"/>
        <s v="SKU62"/>
        <s v="SKU33"/>
        <s v="SKU40"/>
        <s v="SKU26"/>
        <s v="SKU12"/>
        <s v="SKU9"/>
        <s v="SKU55"/>
        <s v="SKU22"/>
        <s v="SKU18"/>
        <s v="SKU10"/>
        <s v="SKU27"/>
        <s v="SKU15"/>
        <s v="SKU72"/>
        <s v="SKU16"/>
        <s v="SKU89"/>
        <s v="SKU76"/>
        <s v="SKU37"/>
        <s v="SKU71"/>
        <s v="SKU84"/>
        <s v="SKU53"/>
        <s v="SKU98"/>
        <s v="SKU68"/>
        <s v="SKU73"/>
        <s v="SKU20"/>
        <s v="SKU54"/>
        <s v="SKU29"/>
        <s v="SKU8"/>
        <s v="SKU77"/>
        <s v="SKU46"/>
        <s v="SKU57"/>
        <s v="SKU66"/>
        <s v="SKU90"/>
        <s v="SKU51"/>
        <s v="SKU86"/>
        <s v="SKU75"/>
        <s v="SKU4"/>
        <s v="SKU19"/>
        <s v="SKU65"/>
        <s v="SKU31"/>
        <s v="SKU96"/>
        <s v="SKU13"/>
        <s v="SKU85"/>
        <s v="SKU82"/>
        <s v="SKU23"/>
        <s v="SKU93"/>
        <s v="SKU49"/>
        <s v="SKU36"/>
        <s v="SKU48"/>
        <s v="SKU25"/>
        <s v="SKU30"/>
        <s v="SKU94"/>
        <s v="SKU78"/>
        <s v="SKU1"/>
        <s v="SKU87"/>
        <s v="SKU39"/>
        <s v="SKU50"/>
        <s v="SKU60"/>
        <s v="SKU28"/>
        <s v="SKU56"/>
        <s v="SKU61"/>
        <s v="SKU42"/>
        <s v="SKU3"/>
        <s v="SKU70"/>
        <s v="SKU63"/>
        <s v="SKU6"/>
        <s v="SKU45"/>
        <s v="SKU24"/>
        <s v="SKU5"/>
        <s v="SKU97"/>
        <s v="SKU2"/>
      </sharedItems>
    </cacheField>
    <cacheField name="profit" numFmtId="0">
      <sharedItems containsSemiMixedTypes="0" containsString="0" containsNumber="1" minValue="51.81" maxValue="87069.35"/>
    </cacheField>
    <cacheField name="risk_score" numFmtId="0">
      <sharedItems containsSemiMixedTypes="0" containsString="0" containsNumber="1" minValue="0.93" maxValue="290.61"/>
    </cacheField>
    <cacheField name="Category" numFmtId="0">
      <sharedItems count="2">
        <s v="High Profit - Low Risk"/>
        <s v="High Profit - High Risk"/>
      </sharedItems>
    </cacheField>
    <cacheField name="priority_score" numFmtId="0">
      <sharedItems containsSemiMixedTypes="0" containsString="0" containsNumber="1" minValue="0.47" maxValue="79070.850000000006"/>
    </cacheField>
    <cacheField name="Rank_score" numFmtId="0">
      <sharedItems containsSemiMixedTypes="0" containsString="0" containsNumber="1" containsInteger="1" minValue="1" maxValue="100"/>
    </cacheField>
    <cacheField name="Action" numFmtId="0">
      <sharedItems count="4">
        <s v="Scale"/>
        <s v="Optimize"/>
        <s v="Monitor"/>
        <s v="Drop"/>
      </sharedItems>
    </cacheField>
  </cacheFields>
  <extLst>
    <ext xmlns:x14="http://schemas.microsoft.com/office/spreadsheetml/2009/9/main" uri="{725AE2AE-9491-48be-B2B4-4EB974FC3084}">
      <x14:pivotCacheDefinition pivotCacheId="164584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2"/>
    <n v="30"/>
  </r>
  <r>
    <x v="1"/>
    <n v="3"/>
    <n v="27"/>
  </r>
  <r>
    <x v="2"/>
    <n v="1"/>
    <n v="17"/>
  </r>
  <r>
    <x v="3"/>
    <n v="1"/>
    <n v="27"/>
  </r>
  <r>
    <x v="4"/>
    <n v="1"/>
    <n v="23"/>
  </r>
  <r>
    <x v="5"/>
    <n v="4"/>
    <n v="30"/>
  </r>
  <r>
    <x v="6"/>
    <n v="5"/>
    <n v="29"/>
  </r>
  <r>
    <x v="7"/>
    <n v="4"/>
    <n v="16"/>
  </r>
  <r>
    <x v="8"/>
    <n v="4"/>
    <n v="17"/>
  </r>
  <r>
    <x v="9"/>
    <n v="3"/>
    <n v="23"/>
  </r>
  <r>
    <x v="10"/>
    <n v="3"/>
    <n v="29"/>
  </r>
  <r>
    <x v="11"/>
    <n v="4"/>
    <n v="27"/>
  </r>
  <r>
    <x v="12"/>
    <n v="3"/>
    <n v="16"/>
  </r>
  <r>
    <x v="13"/>
    <n v="3"/>
    <n v="25"/>
  </r>
  <r>
    <x v="14"/>
    <n v="3"/>
    <n v="22"/>
  </r>
  <r>
    <x v="15"/>
    <n v="5"/>
    <n v="23"/>
  </r>
  <r>
    <x v="16"/>
    <n v="1"/>
    <n v="18"/>
  </r>
  <r>
    <x v="17"/>
    <n v="4"/>
    <n v="19"/>
  </r>
  <r>
    <x v="18"/>
    <n v="5"/>
    <n v="25"/>
  </r>
  <r>
    <x v="19"/>
    <n v="4"/>
    <n v="28"/>
  </r>
  <r>
    <x v="20"/>
    <n v="1"/>
    <n v="25"/>
  </r>
  <r>
    <x v="21"/>
    <n v="1"/>
    <n v="19"/>
  </r>
  <r>
    <x v="22"/>
    <n v="2"/>
    <n v="18"/>
  </r>
  <r>
    <x v="23"/>
    <n v="1"/>
    <n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67"/>
    <n v="18"/>
  </r>
  <r>
    <x v="1"/>
    <n v="2.4700000000000002"/>
    <n v="15"/>
  </r>
  <r>
    <x v="2"/>
    <n v="2.36"/>
    <n v="22"/>
  </r>
  <r>
    <x v="3"/>
    <n v="2.34"/>
    <n v="18"/>
  </r>
  <r>
    <x v="4"/>
    <n v="1.8"/>
    <n v="2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105.2"/>
    <n v="15539.76"/>
  </r>
  <r>
    <x v="1"/>
    <n v="107.37"/>
    <n v="3916.57"/>
  </r>
  <r>
    <x v="2"/>
    <n v="99.54"/>
    <n v="17248.41"/>
  </r>
  <r>
    <x v="3"/>
    <n v="81.3"/>
    <n v="2031.91"/>
  </r>
  <r>
    <x v="4"/>
    <n v="87.12"/>
    <n v="9473.0499999999993"/>
  </r>
  <r>
    <x v="5"/>
    <n v="101.53"/>
    <n v="1589.28"/>
  </r>
  <r>
    <x v="6"/>
    <n v="80.510000000000005"/>
    <n v="5546.86"/>
  </r>
  <r>
    <x v="7"/>
    <n v="69.33"/>
    <n v="875.2"/>
  </r>
  <r>
    <x v="8"/>
    <n v="60.59"/>
    <n v="2562.89"/>
  </r>
  <r>
    <x v="9"/>
    <n v="62.93"/>
    <n v="8479.43"/>
  </r>
  <r>
    <x v="10"/>
    <n v="95.96"/>
    <n v="4089.63"/>
  </r>
  <r>
    <x v="11"/>
    <n v="103.95"/>
    <n v="7108.07"/>
  </r>
  <r>
    <x v="12"/>
    <n v="71.53"/>
    <n v="739.29"/>
  </r>
  <r>
    <x v="13"/>
    <n v="61.21"/>
    <n v="188.69"/>
  </r>
  <r>
    <x v="14"/>
    <n v="84.36"/>
    <n v="7258.28"/>
  </r>
  <r>
    <x v="15"/>
    <n v="76.94"/>
    <n v="11105.81"/>
  </r>
  <r>
    <x v="16"/>
    <n v="91.59"/>
    <n v="6379.06"/>
  </r>
  <r>
    <x v="17"/>
    <n v="87.73"/>
    <n v="5999.63"/>
  </r>
  <r>
    <x v="18"/>
    <n v="98.31"/>
    <n v="6084.58"/>
  </r>
  <r>
    <x v="19"/>
    <n v="101.81"/>
    <n v="18198.46"/>
  </r>
  <r>
    <x v="20"/>
    <n v="85.82"/>
    <n v="2779.87"/>
  </r>
  <r>
    <x v="21"/>
    <n v="71.38"/>
    <n v="16583.84"/>
  </r>
  <r>
    <x v="22"/>
    <n v="79.59"/>
    <n v="5886.72"/>
  </r>
  <r>
    <x v="23"/>
    <n v="64.37"/>
    <n v="11232.92"/>
  </r>
  <r>
    <x v="24"/>
    <n v="78.180000000000007"/>
    <n v="1845.9"/>
  </r>
  <r>
    <x v="25"/>
    <n v="76.06"/>
    <n v="4383.53"/>
  </r>
  <r>
    <x v="26"/>
    <n v="56.53"/>
    <n v="13043.32"/>
  </r>
  <r>
    <x v="27"/>
    <n v="93.35"/>
    <n v="4348.8599999999997"/>
  </r>
  <r>
    <x v="28"/>
    <n v="67.08"/>
    <n v="13102.05"/>
  </r>
  <r>
    <x v="29"/>
    <n v="67.33"/>
    <n v="2930.87"/>
  </r>
  <r>
    <x v="30"/>
    <n v="73.67"/>
    <n v="144.94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55936.78"/>
    <n v="9.06"/>
    <x v="0"/>
    <x v="0"/>
    <x v="0"/>
  </r>
  <r>
    <x v="1"/>
    <n v="10881.5"/>
    <n v="266.97000000000003"/>
    <x v="1"/>
    <x v="1"/>
    <x v="1"/>
  </r>
  <r>
    <x v="2"/>
    <n v="51.81"/>
    <n v="109.93"/>
    <x v="1"/>
    <x v="1"/>
    <x v="1"/>
  </r>
  <r>
    <x v="3"/>
    <n v="5039.2"/>
    <n v="204.11"/>
    <x v="1"/>
    <x v="1"/>
    <x v="1"/>
  </r>
  <r>
    <x v="4"/>
    <n v="4089.63"/>
    <n v="50.33"/>
    <x v="0"/>
    <x v="1"/>
    <x v="1"/>
  </r>
  <r>
    <x v="5"/>
    <n v="188.69"/>
    <n v="111.17"/>
    <x v="1"/>
    <x v="1"/>
    <x v="1"/>
  </r>
  <r>
    <x v="6"/>
    <n v="260.13"/>
    <n v="37.03"/>
    <x v="0"/>
    <x v="2"/>
    <x v="2"/>
  </r>
  <r>
    <x v="7"/>
    <n v="18198.46"/>
    <n v="15.93"/>
    <x v="0"/>
    <x v="0"/>
    <x v="0"/>
  </r>
  <r>
    <x v="8"/>
    <n v="10292.81"/>
    <n v="81.3"/>
    <x v="0"/>
    <x v="1"/>
    <x v="1"/>
  </r>
  <r>
    <x v="9"/>
    <n v="62680.29"/>
    <n v="219.14"/>
    <x v="1"/>
    <x v="3"/>
    <x v="3"/>
  </r>
  <r>
    <x v="10"/>
    <n v="15539.76"/>
    <n v="57"/>
    <x v="0"/>
    <x v="3"/>
    <x v="3"/>
  </r>
  <r>
    <x v="11"/>
    <n v="86977.93"/>
    <n v="1.1000000000000001"/>
    <x v="0"/>
    <x v="0"/>
    <x v="0"/>
  </r>
  <r>
    <x v="12"/>
    <n v="23894.05"/>
    <n v="79.97"/>
    <x v="0"/>
    <x v="3"/>
    <x v="3"/>
  </r>
  <r>
    <x v="13"/>
    <n v="3916.57"/>
    <n v="65.239999999999995"/>
    <x v="0"/>
    <x v="1"/>
    <x v="1"/>
  </r>
  <r>
    <x v="14"/>
    <n v="55726.46"/>
    <n v="5.94"/>
    <x v="0"/>
    <x v="0"/>
    <x v="0"/>
  </r>
  <r>
    <x v="15"/>
    <n v="17248.41"/>
    <n v="65.67"/>
    <x v="0"/>
    <x v="3"/>
    <x v="3"/>
  </r>
  <r>
    <x v="16"/>
    <n v="2031.91"/>
    <n v="9.11"/>
    <x v="0"/>
    <x v="2"/>
    <x v="2"/>
  </r>
  <r>
    <x v="17"/>
    <n v="10213.01"/>
    <n v="3.37"/>
    <x v="0"/>
    <x v="2"/>
    <x v="2"/>
  </r>
  <r>
    <x v="18"/>
    <n v="22563.599999999999"/>
    <n v="80.349999999999994"/>
    <x v="0"/>
    <x v="3"/>
    <x v="3"/>
  </r>
  <r>
    <x v="19"/>
    <n v="9473.0499999999993"/>
    <n v="123.98"/>
    <x v="1"/>
    <x v="1"/>
    <x v="1"/>
  </r>
  <r>
    <x v="20"/>
    <n v="30754.58"/>
    <n v="198.88"/>
    <x v="1"/>
    <x v="3"/>
    <x v="3"/>
  </r>
  <r>
    <x v="21"/>
    <n v="50953.440000000002"/>
    <n v="0.93"/>
    <x v="0"/>
    <x v="0"/>
    <x v="0"/>
  </r>
  <r>
    <x v="22"/>
    <n v="24409.24"/>
    <n v="85.51"/>
    <x v="0"/>
    <x v="3"/>
    <x v="3"/>
  </r>
  <r>
    <x v="23"/>
    <n v="1589.28"/>
    <n v="30.87"/>
    <x v="0"/>
    <x v="2"/>
    <x v="2"/>
  </r>
  <r>
    <x v="24"/>
    <n v="818.54"/>
    <n v="228.86"/>
    <x v="1"/>
    <x v="1"/>
    <x v="1"/>
  </r>
  <r>
    <x v="25"/>
    <n v="5546.86"/>
    <n v="125.31"/>
    <x v="1"/>
    <x v="1"/>
    <x v="1"/>
  </r>
  <r>
    <x v="26"/>
    <n v="34376.29"/>
    <n v="97.49"/>
    <x v="1"/>
    <x v="3"/>
    <x v="3"/>
  </r>
  <r>
    <x v="27"/>
    <n v="32562.26"/>
    <n v="120.32"/>
    <x v="1"/>
    <x v="3"/>
    <x v="3"/>
  </r>
  <r>
    <x v="28"/>
    <n v="875.2"/>
    <n v="26.1"/>
    <x v="0"/>
    <x v="2"/>
    <x v="2"/>
  </r>
  <r>
    <x v="29"/>
    <n v="16004.84"/>
    <n v="108.59"/>
    <x v="1"/>
    <x v="3"/>
    <x v="3"/>
  </r>
  <r>
    <x v="30"/>
    <n v="2562.89"/>
    <n v="57.92"/>
    <x v="0"/>
    <x v="1"/>
    <x v="1"/>
  </r>
  <r>
    <x v="31"/>
    <n v="8479.43"/>
    <n v="134.51"/>
    <x v="1"/>
    <x v="1"/>
    <x v="1"/>
  </r>
  <r>
    <x v="32"/>
    <n v="61826.67"/>
    <n v="91.46"/>
    <x v="0"/>
    <x v="3"/>
    <x v="3"/>
  </r>
  <r>
    <x v="33"/>
    <n v="39885.279999999999"/>
    <n v="95.61"/>
    <x v="1"/>
    <x v="3"/>
    <x v="3"/>
  </r>
  <r>
    <x v="34"/>
    <n v="22543.72"/>
    <n v="23.92"/>
    <x v="0"/>
    <x v="0"/>
    <x v="0"/>
  </r>
  <r>
    <x v="35"/>
    <n v="38082.75"/>
    <n v="20.56"/>
    <x v="0"/>
    <x v="0"/>
    <x v="0"/>
  </r>
  <r>
    <x v="36"/>
    <n v="9402.2800000000007"/>
    <n v="197.89"/>
    <x v="1"/>
    <x v="1"/>
    <x v="1"/>
  </r>
  <r>
    <x v="37"/>
    <n v="22498.17"/>
    <n v="107.02"/>
    <x v="1"/>
    <x v="3"/>
    <x v="3"/>
  </r>
  <r>
    <x v="38"/>
    <n v="36698.36"/>
    <n v="9.81"/>
    <x v="0"/>
    <x v="0"/>
    <x v="0"/>
  </r>
  <r>
    <x v="39"/>
    <n v="3351.87"/>
    <n v="90.02"/>
    <x v="0"/>
    <x v="1"/>
    <x v="1"/>
  </r>
  <r>
    <x v="40"/>
    <n v="75049.740000000005"/>
    <n v="193.81"/>
    <x v="1"/>
    <x v="3"/>
    <x v="3"/>
  </r>
  <r>
    <x v="41"/>
    <n v="55005.88"/>
    <n v="2.04"/>
    <x v="0"/>
    <x v="0"/>
    <x v="0"/>
  </r>
  <r>
    <x v="42"/>
    <n v="7108.07"/>
    <n v="281.54000000000002"/>
    <x v="1"/>
    <x v="1"/>
    <x v="1"/>
  </r>
  <r>
    <x v="43"/>
    <n v="6992.51"/>
    <n v="14.52"/>
    <x v="0"/>
    <x v="2"/>
    <x v="2"/>
  </r>
  <r>
    <x v="44"/>
    <n v="47165.84"/>
    <n v="94.8"/>
    <x v="1"/>
    <x v="3"/>
    <x v="3"/>
  </r>
  <r>
    <x v="45"/>
    <n v="739.29"/>
    <n v="122.34"/>
    <x v="1"/>
    <x v="1"/>
    <x v="1"/>
  </r>
  <r>
    <x v="46"/>
    <n v="23182.22"/>
    <n v="200.67"/>
    <x v="1"/>
    <x v="3"/>
    <x v="3"/>
  </r>
  <r>
    <x v="47"/>
    <n v="87069.35"/>
    <n v="12.94"/>
    <x v="0"/>
    <x v="0"/>
    <x v="0"/>
  </r>
  <r>
    <x v="48"/>
    <n v="2174.81"/>
    <n v="47.55"/>
    <x v="0"/>
    <x v="1"/>
    <x v="1"/>
  </r>
  <r>
    <x v="49"/>
    <n v="7794.24"/>
    <n v="163.9"/>
    <x v="1"/>
    <x v="1"/>
    <x v="1"/>
  </r>
  <r>
    <x v="50"/>
    <n v="8939.3799999999992"/>
    <n v="252"/>
    <x v="1"/>
    <x v="1"/>
    <x v="1"/>
  </r>
  <r>
    <x v="51"/>
    <n v="4092.94"/>
    <n v="40.78"/>
    <x v="0"/>
    <x v="2"/>
    <x v="2"/>
  </r>
  <r>
    <x v="52"/>
    <n v="80368.3"/>
    <n v="46.69"/>
    <x v="0"/>
    <x v="3"/>
    <x v="3"/>
  </r>
  <r>
    <x v="53"/>
    <n v="7258.28"/>
    <n v="40.9"/>
    <x v="0"/>
    <x v="2"/>
    <x v="2"/>
  </r>
  <r>
    <x v="54"/>
    <n v="19338.47"/>
    <n v="126.42"/>
    <x v="1"/>
    <x v="3"/>
    <x v="3"/>
  </r>
  <r>
    <x v="55"/>
    <n v="55943.06"/>
    <n v="195.6"/>
    <x v="1"/>
    <x v="3"/>
    <x v="3"/>
  </r>
  <r>
    <x v="56"/>
    <n v="1937.12"/>
    <n v="61.04"/>
    <x v="0"/>
    <x v="1"/>
    <x v="1"/>
  </r>
  <r>
    <x v="57"/>
    <n v="11105.81"/>
    <n v="100.45"/>
    <x v="1"/>
    <x v="1"/>
    <x v="1"/>
  </r>
  <r>
    <x v="58"/>
    <n v="53548.05"/>
    <n v="51.91"/>
    <x v="0"/>
    <x v="3"/>
    <x v="3"/>
  </r>
  <r>
    <x v="59"/>
    <n v="30883.75"/>
    <n v="15.2"/>
    <x v="0"/>
    <x v="0"/>
    <x v="0"/>
  </r>
  <r>
    <x v="60"/>
    <n v="6379.06"/>
    <n v="182.6"/>
    <x v="1"/>
    <x v="1"/>
    <x v="1"/>
  </r>
  <r>
    <x v="61"/>
    <n v="5999.63"/>
    <n v="192.17"/>
    <x v="1"/>
    <x v="1"/>
    <x v="1"/>
  </r>
  <r>
    <x v="62"/>
    <n v="19626.68"/>
    <n v="41.23"/>
    <x v="0"/>
    <x v="0"/>
    <x v="0"/>
  </r>
  <r>
    <x v="63"/>
    <n v="3179.74"/>
    <n v="148.94999999999999"/>
    <x v="1"/>
    <x v="1"/>
    <x v="1"/>
  </r>
  <r>
    <x v="64"/>
    <n v="11997.69"/>
    <n v="7.97"/>
    <x v="0"/>
    <x v="0"/>
    <x v="0"/>
  </r>
  <r>
    <x v="65"/>
    <n v="15391.68"/>
    <n v="235.73"/>
    <x v="1"/>
    <x v="3"/>
    <x v="3"/>
  </r>
  <r>
    <x v="66"/>
    <n v="18284.25"/>
    <n v="168.96"/>
    <x v="1"/>
    <x v="3"/>
    <x v="3"/>
  </r>
  <r>
    <x v="67"/>
    <n v="45002.33"/>
    <n v="3.69"/>
    <x v="0"/>
    <x v="0"/>
    <x v="0"/>
  </r>
  <r>
    <x v="68"/>
    <n v="6084.58"/>
    <n v="35.700000000000003"/>
    <x v="0"/>
    <x v="2"/>
    <x v="2"/>
  </r>
  <r>
    <x v="69"/>
    <n v="27948.95"/>
    <n v="17.71"/>
    <x v="0"/>
    <x v="0"/>
    <x v="0"/>
  </r>
  <r>
    <x v="70"/>
    <n v="1515.51"/>
    <n v="69.56"/>
    <x v="0"/>
    <x v="1"/>
    <x v="1"/>
  </r>
  <r>
    <x v="71"/>
    <n v="4025.15"/>
    <n v="20.79"/>
    <x v="0"/>
    <x v="2"/>
    <x v="2"/>
  </r>
  <r>
    <x v="72"/>
    <n v="43055.360000000001"/>
    <n v="189.59"/>
    <x v="1"/>
    <x v="3"/>
    <x v="3"/>
  </r>
  <r>
    <x v="73"/>
    <n v="31395.75"/>
    <n v="198.68"/>
    <x v="1"/>
    <x v="3"/>
    <x v="3"/>
  </r>
  <r>
    <x v="74"/>
    <n v="2779.87"/>
    <n v="4.76"/>
    <x v="0"/>
    <x v="2"/>
    <x v="2"/>
  </r>
  <r>
    <x v="75"/>
    <n v="9807.1299999999992"/>
    <n v="111.65"/>
    <x v="1"/>
    <x v="1"/>
    <x v="1"/>
  </r>
  <r>
    <x v="76"/>
    <n v="16583.84"/>
    <n v="78.48"/>
    <x v="0"/>
    <x v="3"/>
    <x v="3"/>
  </r>
  <r>
    <x v="77"/>
    <n v="20574.72"/>
    <n v="177.2"/>
    <x v="1"/>
    <x v="3"/>
    <x v="3"/>
  </r>
  <r>
    <x v="78"/>
    <n v="5886.72"/>
    <n v="139.29"/>
    <x v="1"/>
    <x v="1"/>
    <x v="1"/>
  </r>
  <r>
    <x v="79"/>
    <n v="11232.92"/>
    <n v="5.14"/>
    <x v="0"/>
    <x v="2"/>
    <x v="2"/>
  </r>
  <r>
    <x v="80"/>
    <n v="79384.100000000006"/>
    <n v="68.39"/>
    <x v="0"/>
    <x v="3"/>
    <x v="3"/>
  </r>
  <r>
    <x v="81"/>
    <n v="56338.21"/>
    <n v="99.35"/>
    <x v="1"/>
    <x v="3"/>
    <x v="3"/>
  </r>
  <r>
    <x v="82"/>
    <n v="5714.56"/>
    <n v="107.58"/>
    <x v="1"/>
    <x v="1"/>
    <x v="1"/>
  </r>
  <r>
    <x v="83"/>
    <n v="45585.48"/>
    <n v="40.200000000000003"/>
    <x v="0"/>
    <x v="0"/>
    <x v="0"/>
  </r>
  <r>
    <x v="84"/>
    <n v="55024.31"/>
    <n v="290.61"/>
    <x v="1"/>
    <x v="3"/>
    <x v="3"/>
  </r>
  <r>
    <x v="85"/>
    <n v="1845.9"/>
    <n v="32.99"/>
    <x v="0"/>
    <x v="2"/>
    <x v="2"/>
  </r>
  <r>
    <x v="86"/>
    <n v="4383.53"/>
    <n v="49.24"/>
    <x v="0"/>
    <x v="1"/>
    <x v="1"/>
  </r>
  <r>
    <x v="87"/>
    <n v="6317.44"/>
    <n v="162.52000000000001"/>
    <x v="1"/>
    <x v="1"/>
    <x v="1"/>
  </r>
  <r>
    <x v="88"/>
    <n v="55402.3"/>
    <n v="33.22"/>
    <x v="0"/>
    <x v="0"/>
    <x v="0"/>
  </r>
  <r>
    <x v="89"/>
    <n v="13043.32"/>
    <n v="61.05"/>
    <x v="0"/>
    <x v="3"/>
    <x v="3"/>
  </r>
  <r>
    <x v="90"/>
    <n v="4348.8599999999997"/>
    <n v="40.24"/>
    <x v="0"/>
    <x v="2"/>
    <x v="2"/>
  </r>
  <r>
    <x v="91"/>
    <n v="56847.32"/>
    <n v="21.28"/>
    <x v="0"/>
    <x v="0"/>
    <x v="0"/>
  </r>
  <r>
    <x v="92"/>
    <n v="13102.05"/>
    <n v="12.34"/>
    <x v="0"/>
    <x v="0"/>
    <x v="0"/>
  </r>
  <r>
    <x v="93"/>
    <n v="7856.51"/>
    <n v="162.47"/>
    <x v="1"/>
    <x v="1"/>
    <x v="1"/>
  </r>
  <r>
    <x v="94"/>
    <n v="2930.87"/>
    <n v="68.790000000000006"/>
    <x v="0"/>
    <x v="1"/>
    <x v="1"/>
  </r>
  <r>
    <x v="95"/>
    <n v="52283.92"/>
    <n v="49.65"/>
    <x v="0"/>
    <x v="3"/>
    <x v="3"/>
  </r>
  <r>
    <x v="96"/>
    <n v="7889.94"/>
    <n v="127.78"/>
    <x v="1"/>
    <x v="1"/>
    <x v="1"/>
  </r>
  <r>
    <x v="97"/>
    <n v="144.94999999999999"/>
    <n v="128.30000000000001"/>
    <x v="1"/>
    <x v="1"/>
    <x v="1"/>
  </r>
  <r>
    <x v="98"/>
    <n v="18028.939999999999"/>
    <n v="104.69"/>
    <x v="1"/>
    <x v="3"/>
    <x v="3"/>
  </r>
  <r>
    <x v="99"/>
    <n v="42921.3"/>
    <n v="14.88"/>
    <x v="0"/>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86977.93"/>
    <n v="1.1000000000000001"/>
    <x v="0"/>
    <n v="79070.850000000006"/>
    <n v="1"/>
    <x v="0"/>
  </r>
  <r>
    <x v="1"/>
    <n v="50953.440000000002"/>
    <n v="0.93"/>
    <x v="0"/>
    <n v="54788.65"/>
    <n v="2"/>
    <x v="0"/>
  </r>
  <r>
    <x v="2"/>
    <n v="55005.88"/>
    <n v="2.04"/>
    <x v="0"/>
    <n v="26963.67"/>
    <n v="3"/>
    <x v="0"/>
  </r>
  <r>
    <x v="3"/>
    <n v="45002.33"/>
    <n v="3.69"/>
    <x v="0"/>
    <n v="12195.75"/>
    <n v="4"/>
    <x v="0"/>
  </r>
  <r>
    <x v="4"/>
    <n v="55726.46"/>
    <n v="5.94"/>
    <x v="0"/>
    <n v="9381.56"/>
    <n v="5"/>
    <x v="0"/>
  </r>
  <r>
    <x v="5"/>
    <n v="87069.35"/>
    <n v="12.94"/>
    <x v="0"/>
    <n v="6728.7"/>
    <n v="6"/>
    <x v="0"/>
  </r>
  <r>
    <x v="6"/>
    <n v="55936.78"/>
    <n v="9.06"/>
    <x v="0"/>
    <n v="6174.04"/>
    <n v="7"/>
    <x v="0"/>
  </r>
  <r>
    <x v="7"/>
    <n v="36698.36"/>
    <n v="9.81"/>
    <x v="0"/>
    <n v="3740.91"/>
    <n v="8"/>
    <x v="0"/>
  </r>
  <r>
    <x v="8"/>
    <n v="10213.01"/>
    <n v="3.37"/>
    <x v="0"/>
    <n v="3030.57"/>
    <n v="9"/>
    <x v="1"/>
  </r>
  <r>
    <x v="9"/>
    <n v="42921.3"/>
    <n v="14.88"/>
    <x v="0"/>
    <n v="2884.5"/>
    <n v="10"/>
    <x v="0"/>
  </r>
  <r>
    <x v="10"/>
    <n v="56847.32"/>
    <n v="21.28"/>
    <x v="0"/>
    <n v="2671.4"/>
    <n v="11"/>
    <x v="0"/>
  </r>
  <r>
    <x v="11"/>
    <n v="11232.92"/>
    <n v="5.14"/>
    <x v="0"/>
    <n v="2185.39"/>
    <n v="12"/>
    <x v="1"/>
  </r>
  <r>
    <x v="12"/>
    <n v="30883.75"/>
    <n v="15.2"/>
    <x v="0"/>
    <n v="2031.83"/>
    <n v="13"/>
    <x v="0"/>
  </r>
  <r>
    <x v="13"/>
    <n v="38082.75"/>
    <n v="20.56"/>
    <x v="0"/>
    <n v="1852.27"/>
    <n v="14"/>
    <x v="0"/>
  </r>
  <r>
    <x v="14"/>
    <n v="80368.3"/>
    <n v="46.69"/>
    <x v="0"/>
    <n v="1721.32"/>
    <n v="15"/>
    <x v="2"/>
  </r>
  <r>
    <x v="15"/>
    <n v="55402.3"/>
    <n v="33.22"/>
    <x v="0"/>
    <n v="1667.74"/>
    <n v="16"/>
    <x v="0"/>
  </r>
  <r>
    <x v="16"/>
    <n v="27948.95"/>
    <n v="17.71"/>
    <x v="0"/>
    <n v="1578.15"/>
    <n v="17"/>
    <x v="0"/>
  </r>
  <r>
    <x v="17"/>
    <n v="11997.69"/>
    <n v="7.97"/>
    <x v="0"/>
    <n v="1505.36"/>
    <n v="18"/>
    <x v="0"/>
  </r>
  <r>
    <x v="18"/>
    <n v="79384.100000000006"/>
    <n v="68.39"/>
    <x v="0"/>
    <n v="1160.76"/>
    <n v="19"/>
    <x v="2"/>
  </r>
  <r>
    <x v="19"/>
    <n v="18198.46"/>
    <n v="15.93"/>
    <x v="0"/>
    <n v="1142.4000000000001"/>
    <n v="20"/>
    <x v="0"/>
  </r>
  <r>
    <x v="20"/>
    <n v="45585.48"/>
    <n v="40.200000000000003"/>
    <x v="0"/>
    <n v="1133.97"/>
    <n v="21"/>
    <x v="0"/>
  </r>
  <r>
    <x v="21"/>
    <n v="13102.05"/>
    <n v="12.34"/>
    <x v="0"/>
    <n v="1061.75"/>
    <n v="22"/>
    <x v="0"/>
  </r>
  <r>
    <x v="22"/>
    <n v="52283.92"/>
    <n v="49.65"/>
    <x v="0"/>
    <n v="1053.05"/>
    <n v="23"/>
    <x v="2"/>
  </r>
  <r>
    <x v="23"/>
    <n v="53548.05"/>
    <n v="51.91"/>
    <x v="0"/>
    <n v="1031.56"/>
    <n v="24"/>
    <x v="2"/>
  </r>
  <r>
    <x v="24"/>
    <n v="22543.72"/>
    <n v="23.92"/>
    <x v="0"/>
    <n v="942.46"/>
    <n v="25"/>
    <x v="0"/>
  </r>
  <r>
    <x v="25"/>
    <n v="61826.67"/>
    <n v="91.46"/>
    <x v="0"/>
    <n v="676"/>
    <n v="26"/>
    <x v="2"/>
  </r>
  <r>
    <x v="26"/>
    <n v="2779.87"/>
    <n v="4.76"/>
    <x v="0"/>
    <n v="584.01"/>
    <n v="27"/>
    <x v="1"/>
  </r>
  <r>
    <x v="27"/>
    <n v="56338.21"/>
    <n v="99.35"/>
    <x v="1"/>
    <n v="567.07000000000005"/>
    <n v="28"/>
    <x v="2"/>
  </r>
  <r>
    <x v="28"/>
    <n v="47165.84"/>
    <n v="94.8"/>
    <x v="1"/>
    <n v="497.53"/>
    <n v="29"/>
    <x v="2"/>
  </r>
  <r>
    <x v="29"/>
    <n v="6992.51"/>
    <n v="14.52"/>
    <x v="0"/>
    <n v="481.58"/>
    <n v="30"/>
    <x v="1"/>
  </r>
  <r>
    <x v="30"/>
    <n v="19626.68"/>
    <n v="41.23"/>
    <x v="0"/>
    <n v="476.03"/>
    <n v="31"/>
    <x v="0"/>
  </r>
  <r>
    <x v="31"/>
    <n v="39885.279999999999"/>
    <n v="95.61"/>
    <x v="1"/>
    <n v="417.17"/>
    <n v="32"/>
    <x v="2"/>
  </r>
  <r>
    <x v="32"/>
    <n v="75049.740000000005"/>
    <n v="193.81"/>
    <x v="1"/>
    <n v="387.23"/>
    <n v="33"/>
    <x v="2"/>
  </r>
  <r>
    <x v="33"/>
    <n v="34376.29"/>
    <n v="97.49"/>
    <x v="1"/>
    <n v="352.61"/>
    <n v="34"/>
    <x v="2"/>
  </r>
  <r>
    <x v="34"/>
    <n v="23894.05"/>
    <n v="79.97"/>
    <x v="0"/>
    <n v="298.79000000000002"/>
    <n v="35"/>
    <x v="2"/>
  </r>
  <r>
    <x v="35"/>
    <n v="62680.29"/>
    <n v="219.14"/>
    <x v="1"/>
    <n v="286.02999999999997"/>
    <n v="36"/>
    <x v="2"/>
  </r>
  <r>
    <x v="36"/>
    <n v="55943.06"/>
    <n v="195.6"/>
    <x v="1"/>
    <n v="286.01"/>
    <n v="37"/>
    <x v="2"/>
  </r>
  <r>
    <x v="37"/>
    <n v="24409.24"/>
    <n v="85.51"/>
    <x v="0"/>
    <n v="285.45"/>
    <n v="38"/>
    <x v="2"/>
  </r>
  <r>
    <x v="38"/>
    <n v="22563.599999999999"/>
    <n v="80.349999999999994"/>
    <x v="0"/>
    <n v="280.82"/>
    <n v="39"/>
    <x v="2"/>
  </r>
  <r>
    <x v="39"/>
    <n v="15539.76"/>
    <n v="57"/>
    <x v="0"/>
    <n v="272.63"/>
    <n v="40"/>
    <x v="2"/>
  </r>
  <r>
    <x v="40"/>
    <n v="32562.26"/>
    <n v="120.32"/>
    <x v="1"/>
    <n v="270.63"/>
    <n v="41"/>
    <x v="2"/>
  </r>
  <r>
    <x v="41"/>
    <n v="17248.41"/>
    <n v="65.67"/>
    <x v="0"/>
    <n v="262.64999999999998"/>
    <n v="42"/>
    <x v="2"/>
  </r>
  <r>
    <x v="42"/>
    <n v="43055.360000000001"/>
    <n v="189.59"/>
    <x v="1"/>
    <n v="227.1"/>
    <n v="43"/>
    <x v="2"/>
  </r>
  <r>
    <x v="43"/>
    <n v="2031.91"/>
    <n v="9.11"/>
    <x v="0"/>
    <n v="223.04"/>
    <n v="44"/>
    <x v="1"/>
  </r>
  <r>
    <x v="44"/>
    <n v="13043.32"/>
    <n v="61.05"/>
    <x v="0"/>
    <n v="213.65"/>
    <n v="45"/>
    <x v="2"/>
  </r>
  <r>
    <x v="45"/>
    <n v="16583.84"/>
    <n v="78.48"/>
    <x v="0"/>
    <n v="211.31"/>
    <n v="46"/>
    <x v="2"/>
  </r>
  <r>
    <x v="46"/>
    <n v="22498.17"/>
    <n v="107.02"/>
    <x v="1"/>
    <n v="210.22"/>
    <n v="47"/>
    <x v="2"/>
  </r>
  <r>
    <x v="47"/>
    <n v="4025.15"/>
    <n v="20.79"/>
    <x v="0"/>
    <n v="193.61"/>
    <n v="48"/>
    <x v="1"/>
  </r>
  <r>
    <x v="48"/>
    <n v="55024.31"/>
    <n v="290.61"/>
    <x v="1"/>
    <n v="189.34"/>
    <n v="49"/>
    <x v="2"/>
  </r>
  <r>
    <x v="49"/>
    <n v="7258.28"/>
    <n v="40.9"/>
    <x v="0"/>
    <n v="177.46"/>
    <n v="50"/>
    <x v="1"/>
  </r>
  <r>
    <x v="50"/>
    <n v="18028.939999999999"/>
    <n v="104.69"/>
    <x v="1"/>
    <n v="172.21"/>
    <n v="51"/>
    <x v="2"/>
  </r>
  <r>
    <x v="51"/>
    <n v="6084.58"/>
    <n v="35.700000000000003"/>
    <x v="0"/>
    <n v="170.44"/>
    <n v="52"/>
    <x v="1"/>
  </r>
  <r>
    <x v="52"/>
    <n v="31395.75"/>
    <n v="198.68"/>
    <x v="1"/>
    <n v="158.02000000000001"/>
    <n v="53"/>
    <x v="2"/>
  </r>
  <r>
    <x v="53"/>
    <n v="30754.58"/>
    <n v="198.88"/>
    <x v="1"/>
    <n v="154.63999999999999"/>
    <n v="54"/>
    <x v="2"/>
  </r>
  <r>
    <x v="54"/>
    <n v="19338.47"/>
    <n v="126.42"/>
    <x v="1"/>
    <n v="152.97"/>
    <n v="55"/>
    <x v="2"/>
  </r>
  <r>
    <x v="55"/>
    <n v="16004.84"/>
    <n v="108.59"/>
    <x v="1"/>
    <n v="147.38999999999999"/>
    <n v="56"/>
    <x v="2"/>
  </r>
  <r>
    <x v="56"/>
    <n v="10292.81"/>
    <n v="81.3"/>
    <x v="0"/>
    <n v="126.6"/>
    <n v="57"/>
    <x v="3"/>
  </r>
  <r>
    <x v="57"/>
    <n v="20574.72"/>
    <n v="177.2"/>
    <x v="1"/>
    <n v="116.11"/>
    <n v="58"/>
    <x v="2"/>
  </r>
  <r>
    <x v="58"/>
    <n v="23182.22"/>
    <n v="200.67"/>
    <x v="1"/>
    <n v="115.52"/>
    <n v="59"/>
    <x v="2"/>
  </r>
  <r>
    <x v="59"/>
    <n v="11105.81"/>
    <n v="100.45"/>
    <x v="1"/>
    <n v="110.56"/>
    <n v="60"/>
    <x v="3"/>
  </r>
  <r>
    <x v="60"/>
    <n v="18284.25"/>
    <n v="168.96"/>
    <x v="1"/>
    <n v="108.22"/>
    <n v="61"/>
    <x v="2"/>
  </r>
  <r>
    <x v="61"/>
    <n v="4348.8599999999997"/>
    <n v="40.24"/>
    <x v="0"/>
    <n v="108.07"/>
    <n v="62"/>
    <x v="1"/>
  </r>
  <r>
    <x v="62"/>
    <n v="4092.94"/>
    <n v="40.78"/>
    <x v="0"/>
    <n v="100.37"/>
    <n v="63"/>
    <x v="1"/>
  </r>
  <r>
    <x v="63"/>
    <n v="4383.53"/>
    <n v="49.24"/>
    <x v="0"/>
    <n v="89.02"/>
    <n v="64"/>
    <x v="3"/>
  </r>
  <r>
    <x v="64"/>
    <n v="9807.1299999999992"/>
    <n v="111.65"/>
    <x v="1"/>
    <n v="87.84"/>
    <n v="65"/>
    <x v="3"/>
  </r>
  <r>
    <x v="65"/>
    <n v="4089.63"/>
    <n v="50.33"/>
    <x v="0"/>
    <n v="81.260000000000005"/>
    <n v="66"/>
    <x v="3"/>
  </r>
  <r>
    <x v="66"/>
    <n v="9473.0499999999993"/>
    <n v="123.98"/>
    <x v="1"/>
    <n v="76.41"/>
    <n v="67"/>
    <x v="3"/>
  </r>
  <r>
    <x v="67"/>
    <n v="15391.68"/>
    <n v="235.73"/>
    <x v="1"/>
    <n v="65.290000000000006"/>
    <n v="68"/>
    <x v="2"/>
  </r>
  <r>
    <x v="68"/>
    <n v="8479.43"/>
    <n v="134.51"/>
    <x v="1"/>
    <n v="63.04"/>
    <n v="69"/>
    <x v="3"/>
  </r>
  <r>
    <x v="69"/>
    <n v="7889.94"/>
    <n v="127.78"/>
    <x v="1"/>
    <n v="61.75"/>
    <n v="70"/>
    <x v="3"/>
  </r>
  <r>
    <x v="70"/>
    <n v="3916.57"/>
    <n v="65.239999999999995"/>
    <x v="0"/>
    <n v="60.03"/>
    <n v="71"/>
    <x v="3"/>
  </r>
  <r>
    <x v="71"/>
    <n v="1845.9"/>
    <n v="32.99"/>
    <x v="0"/>
    <n v="55.95"/>
    <n v="72"/>
    <x v="1"/>
  </r>
  <r>
    <x v="72"/>
    <n v="5714.56"/>
    <n v="107.58"/>
    <x v="1"/>
    <n v="53.12"/>
    <n v="73"/>
    <x v="3"/>
  </r>
  <r>
    <x v="73"/>
    <n v="1589.28"/>
    <n v="30.87"/>
    <x v="0"/>
    <n v="51.48"/>
    <n v="74"/>
    <x v="1"/>
  </r>
  <r>
    <x v="74"/>
    <n v="7856.51"/>
    <n v="162.47"/>
    <x v="1"/>
    <n v="48.36"/>
    <n v="75"/>
    <x v="3"/>
  </r>
  <r>
    <x v="75"/>
    <n v="7794.24"/>
    <n v="163.9"/>
    <x v="1"/>
    <n v="47.55"/>
    <n v="76"/>
    <x v="3"/>
  </r>
  <r>
    <x v="76"/>
    <n v="9402.2800000000007"/>
    <n v="197.89"/>
    <x v="1"/>
    <n v="47.51"/>
    <n v="77"/>
    <x v="3"/>
  </r>
  <r>
    <x v="77"/>
    <n v="2174.81"/>
    <n v="47.55"/>
    <x v="0"/>
    <n v="45.74"/>
    <n v="78"/>
    <x v="3"/>
  </r>
  <r>
    <x v="78"/>
    <n v="5546.86"/>
    <n v="125.31"/>
    <x v="1"/>
    <n v="44.27"/>
    <n v="79"/>
    <x v="3"/>
  </r>
  <r>
    <x v="79"/>
    <n v="2562.89"/>
    <n v="57.92"/>
    <x v="0"/>
    <n v="44.25"/>
    <n v="80"/>
    <x v="3"/>
  </r>
  <r>
    <x v="80"/>
    <n v="2930.87"/>
    <n v="68.790000000000006"/>
    <x v="0"/>
    <n v="42.61"/>
    <n v="81"/>
    <x v="3"/>
  </r>
  <r>
    <x v="81"/>
    <n v="5886.72"/>
    <n v="139.29"/>
    <x v="1"/>
    <n v="42.26"/>
    <n v="82"/>
    <x v="3"/>
  </r>
  <r>
    <x v="82"/>
    <n v="10881.5"/>
    <n v="266.97000000000003"/>
    <x v="1"/>
    <n v="40.76"/>
    <n v="83"/>
    <x v="3"/>
  </r>
  <r>
    <x v="83"/>
    <n v="6317.44"/>
    <n v="162.52000000000001"/>
    <x v="1"/>
    <n v="38.869999999999997"/>
    <n v="84"/>
    <x v="3"/>
  </r>
  <r>
    <x v="84"/>
    <n v="3351.87"/>
    <n v="90.02"/>
    <x v="0"/>
    <n v="37.229999999999997"/>
    <n v="85"/>
    <x v="3"/>
  </r>
  <r>
    <x v="85"/>
    <n v="8939.3799999999992"/>
    <n v="252"/>
    <x v="1"/>
    <n v="35.47"/>
    <n v="86"/>
    <x v="3"/>
  </r>
  <r>
    <x v="86"/>
    <n v="6379.06"/>
    <n v="182.6"/>
    <x v="1"/>
    <n v="34.93"/>
    <n v="87"/>
    <x v="3"/>
  </r>
  <r>
    <x v="87"/>
    <n v="875.2"/>
    <n v="26.1"/>
    <x v="0"/>
    <n v="33.53"/>
    <n v="88"/>
    <x v="1"/>
  </r>
  <r>
    <x v="88"/>
    <n v="1937.12"/>
    <n v="61.04"/>
    <x v="0"/>
    <n v="31.74"/>
    <n v="89"/>
    <x v="3"/>
  </r>
  <r>
    <x v="89"/>
    <n v="5999.63"/>
    <n v="192.17"/>
    <x v="1"/>
    <n v="31.22"/>
    <n v="90"/>
    <x v="3"/>
  </r>
  <r>
    <x v="90"/>
    <n v="7108.07"/>
    <n v="281.54000000000002"/>
    <x v="1"/>
    <n v="25.25"/>
    <n v="91"/>
    <x v="3"/>
  </r>
  <r>
    <x v="91"/>
    <n v="5039.2"/>
    <n v="204.11"/>
    <x v="1"/>
    <n v="24.69"/>
    <n v="92"/>
    <x v="3"/>
  </r>
  <r>
    <x v="92"/>
    <n v="1515.51"/>
    <n v="69.56"/>
    <x v="0"/>
    <n v="21.79"/>
    <n v="93"/>
    <x v="3"/>
  </r>
  <r>
    <x v="93"/>
    <n v="3179.74"/>
    <n v="148.94999999999999"/>
    <x v="1"/>
    <n v="21.35"/>
    <n v="94"/>
    <x v="3"/>
  </r>
  <r>
    <x v="94"/>
    <n v="260.13"/>
    <n v="37.03"/>
    <x v="0"/>
    <n v="7.02"/>
    <n v="95"/>
    <x v="1"/>
  </r>
  <r>
    <x v="95"/>
    <n v="739.29"/>
    <n v="122.34"/>
    <x v="1"/>
    <n v="6.04"/>
    <n v="96"/>
    <x v="3"/>
  </r>
  <r>
    <x v="96"/>
    <n v="818.54"/>
    <n v="228.86"/>
    <x v="1"/>
    <n v="3.58"/>
    <n v="97"/>
    <x v="3"/>
  </r>
  <r>
    <x v="97"/>
    <n v="188.69"/>
    <n v="111.17"/>
    <x v="1"/>
    <n v="1.7"/>
    <n v="98"/>
    <x v="3"/>
  </r>
  <r>
    <x v="98"/>
    <n v="144.94999999999999"/>
    <n v="128.30000000000001"/>
    <x v="1"/>
    <n v="1.1299999999999999"/>
    <n v="99"/>
    <x v="3"/>
  </r>
  <r>
    <x v="99"/>
    <n v="51.81"/>
    <n v="109.93"/>
    <x v="1"/>
    <n v="0.47"/>
    <n v="1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090D3-D481-4CF9-A4D7-78BA0BCC2753}" name="PivotTable2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Category">
  <location ref="Q5:U45" firstHeaderRow="0" firstDataRow="1" firstDataCol="3"/>
  <pivotFields count="7">
    <pivotField name="SKU " axis="axisRow" compact="0" outline="0" showAll="0" measureFilter="1">
      <items count="101">
        <item x="6"/>
        <item x="82"/>
        <item x="39"/>
        <item x="0"/>
        <item x="34"/>
        <item x="70"/>
        <item x="4"/>
        <item x="41"/>
        <item x="43"/>
        <item x="8"/>
        <item x="38"/>
        <item x="66"/>
        <item x="99"/>
        <item x="53"/>
        <item x="1"/>
        <item x="37"/>
        <item x="73"/>
        <item x="96"/>
        <item x="78"/>
        <item x="33"/>
        <item x="40"/>
        <item x="87"/>
        <item x="55"/>
        <item x="91"/>
        <item x="79"/>
        <item x="68"/>
        <item x="25"/>
        <item x="31"/>
        <item x="24"/>
        <item x="13"/>
        <item x="76"/>
        <item x="46"/>
        <item x="7"/>
        <item x="84"/>
        <item x="65"/>
        <item x="32"/>
        <item x="2"/>
        <item x="90"/>
        <item x="29"/>
        <item x="28"/>
        <item x="95"/>
        <item x="58"/>
        <item x="5"/>
        <item x="77"/>
        <item x="75"/>
        <item x="97"/>
        <item x="85"/>
        <item x="62"/>
        <item x="14"/>
        <item x="49"/>
        <item x="54"/>
        <item x="36"/>
        <item x="88"/>
        <item x="59"/>
        <item x="23"/>
        <item x="12"/>
        <item x="94"/>
        <item x="86"/>
        <item x="89"/>
        <item x="30"/>
        <item x="93"/>
        <item x="17"/>
        <item x="67"/>
        <item x="60"/>
        <item x="3"/>
        <item x="51"/>
        <item x="16"/>
        <item x="19"/>
        <item x="92"/>
        <item x="47"/>
        <item x="42"/>
        <item x="52"/>
        <item x="26"/>
        <item x="64"/>
        <item x="45"/>
        <item x="57"/>
        <item x="81"/>
        <item x="11"/>
        <item x="56"/>
        <item x="18"/>
        <item x="27"/>
        <item x="72"/>
        <item x="20"/>
        <item x="48"/>
        <item x="71"/>
        <item x="63"/>
        <item x="83"/>
        <item x="15"/>
        <item x="44"/>
        <item x="35"/>
        <item x="61"/>
        <item x="10"/>
        <item x="21"/>
        <item x="74"/>
        <item x="80"/>
        <item x="22"/>
        <item x="69"/>
        <item x="98"/>
        <item x="50"/>
        <item x="9"/>
        <item t="default"/>
      </items>
    </pivotField>
    <pivotField dataField="1" compact="0" outline="0" showAll="0"/>
    <pivotField dataField="1" compact="0" outline="0" showAll="0"/>
    <pivotField axis="axisRow" compact="0" outline="0" showAll="0">
      <items count="3">
        <item x="1"/>
        <item x="0"/>
        <item t="default"/>
      </items>
    </pivotField>
    <pivotField compact="0" outline="0" showAll="0"/>
    <pivotField compact="0" outline="0" showAll="0"/>
    <pivotField axis="axisRow" compact="0" outline="0" showAll="0">
      <items count="5">
        <item x="2"/>
        <item x="0"/>
        <item x="3"/>
        <item x="1"/>
        <item t="default"/>
      </items>
    </pivotField>
  </pivotFields>
  <rowFields count="3">
    <field x="6"/>
    <field x="3"/>
    <field x="0"/>
  </rowFields>
  <rowItems count="40">
    <i>
      <x/>
      <x/>
      <x v="35"/>
    </i>
    <i r="2">
      <x v="51"/>
    </i>
    <i r="2">
      <x v="80"/>
    </i>
    <i r="2">
      <x v="83"/>
    </i>
    <i r="2">
      <x v="89"/>
    </i>
    <i t="default" r="1">
      <x/>
    </i>
    <i r="1">
      <x v="1"/>
      <x v="26"/>
    </i>
    <i r="2">
      <x v="48"/>
    </i>
    <i r="2">
      <x v="54"/>
    </i>
    <i r="2">
      <x v="79"/>
    </i>
    <i r="2">
      <x v="95"/>
    </i>
    <i t="default" r="1">
      <x v="1"/>
    </i>
    <i t="default">
      <x/>
    </i>
    <i>
      <x v="1"/>
      <x v="1"/>
      <x/>
    </i>
    <i r="2">
      <x v="3"/>
    </i>
    <i r="2">
      <x v="6"/>
    </i>
    <i r="2">
      <x v="42"/>
    </i>
    <i r="2">
      <x v="91"/>
    </i>
    <i t="default" r="1">
      <x v="1"/>
    </i>
    <i t="default">
      <x v="1"/>
    </i>
    <i>
      <x v="2"/>
      <x/>
      <x v="1"/>
    </i>
    <i r="2">
      <x v="11"/>
    </i>
    <i r="2">
      <x v="30"/>
    </i>
    <i r="2">
      <x v="53"/>
    </i>
    <i r="2">
      <x v="73"/>
    </i>
    <i t="default" r="1">
      <x/>
    </i>
    <i r="1">
      <x v="1"/>
      <x v="5"/>
    </i>
    <i r="2">
      <x v="33"/>
    </i>
    <i r="2">
      <x v="34"/>
    </i>
    <i r="2">
      <x v="78"/>
    </i>
    <i r="2">
      <x v="85"/>
    </i>
    <i t="default" r="1">
      <x v="1"/>
    </i>
    <i t="default">
      <x v="2"/>
    </i>
    <i>
      <x v="3"/>
      <x v="1"/>
      <x v="9"/>
    </i>
    <i r="2">
      <x v="38"/>
    </i>
    <i r="2">
      <x v="49"/>
    </i>
    <i r="2">
      <x v="65"/>
    </i>
    <i r="2">
      <x v="77"/>
    </i>
    <i t="default" r="1">
      <x v="1"/>
    </i>
    <i t="default">
      <x v="3"/>
    </i>
  </rowItems>
  <colFields count="1">
    <field x="-2"/>
  </colFields>
  <colItems count="2">
    <i>
      <x/>
    </i>
    <i i="1">
      <x v="1"/>
    </i>
  </colItems>
  <dataFields count="2">
    <dataField name="Profit  " fld="1" baseField="0" baseItem="0"/>
    <dataField name="Risk Score " fld="2" baseField="0" baseItem="0"/>
  </dataFields>
  <formats count="121">
    <format dxfId="134">
      <pivotArea outline="0" collapsedLevelsAreSubtotals="1" fieldPosition="0"/>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field="3" type="button" dataOnly="0" labelOnly="1" outline="0" axis="axisRow" fieldPosition="1"/>
    </format>
    <format dxfId="129">
      <pivotArea field="0" type="button" dataOnly="0" labelOnly="1" outline="0" axis="axisRow" fieldPosition="2"/>
    </format>
    <format dxfId="128">
      <pivotArea dataOnly="0" labelOnly="1" outline="0" fieldPosition="0">
        <references count="1">
          <reference field="6" count="0"/>
        </references>
      </pivotArea>
    </format>
    <format dxfId="127">
      <pivotArea dataOnly="0" labelOnly="1" outline="0" fieldPosition="0">
        <references count="1">
          <reference field="6" count="0" defaultSubtotal="1"/>
        </references>
      </pivotArea>
    </format>
    <format dxfId="126">
      <pivotArea dataOnly="0" labelOnly="1" outline="0" fieldPosition="0">
        <references count="2">
          <reference field="3" count="0"/>
          <reference field="6" count="1" selected="0">
            <x v="0"/>
          </reference>
        </references>
      </pivotArea>
    </format>
    <format dxfId="125">
      <pivotArea dataOnly="0" labelOnly="1" outline="0" fieldPosition="0">
        <references count="2">
          <reference field="3" count="0" defaultSubtotal="1"/>
          <reference field="6" count="1" selected="0">
            <x v="0"/>
          </reference>
        </references>
      </pivotArea>
    </format>
    <format dxfId="124">
      <pivotArea dataOnly="0" labelOnly="1" outline="0" fieldPosition="0">
        <references count="2">
          <reference field="3" count="1">
            <x v="1"/>
          </reference>
          <reference field="6" count="1" selected="0">
            <x v="1"/>
          </reference>
        </references>
      </pivotArea>
    </format>
    <format dxfId="123">
      <pivotArea dataOnly="0" labelOnly="1" outline="0" fieldPosition="0">
        <references count="2">
          <reference field="3" count="1" defaultSubtotal="1">
            <x v="1"/>
          </reference>
          <reference field="6" count="1" selected="0">
            <x v="1"/>
          </reference>
        </references>
      </pivotArea>
    </format>
    <format dxfId="122">
      <pivotArea dataOnly="0" labelOnly="1" outline="0" fieldPosition="0">
        <references count="2">
          <reference field="3" count="0"/>
          <reference field="6" count="1" selected="0">
            <x v="2"/>
          </reference>
        </references>
      </pivotArea>
    </format>
    <format dxfId="121">
      <pivotArea dataOnly="0" labelOnly="1" outline="0" fieldPosition="0">
        <references count="2">
          <reference field="3" count="0" defaultSubtotal="1"/>
          <reference field="6" count="1" selected="0">
            <x v="2"/>
          </reference>
        </references>
      </pivotArea>
    </format>
    <format dxfId="120">
      <pivotArea dataOnly="0" labelOnly="1" outline="0" fieldPosition="0">
        <references count="2">
          <reference field="3" count="1">
            <x v="1"/>
          </reference>
          <reference field="6" count="1" selected="0">
            <x v="3"/>
          </reference>
        </references>
      </pivotArea>
    </format>
    <format dxfId="119">
      <pivotArea dataOnly="0" labelOnly="1" outline="0" fieldPosition="0">
        <references count="2">
          <reference field="3" count="1" defaultSubtotal="1">
            <x v="1"/>
          </reference>
          <reference field="6" count="1" selected="0">
            <x v="3"/>
          </reference>
        </references>
      </pivotArea>
    </format>
    <format dxfId="118">
      <pivotArea dataOnly="0" labelOnly="1" outline="0" fieldPosition="0">
        <references count="3">
          <reference field="0" count="5">
            <x v="35"/>
            <x v="51"/>
            <x v="80"/>
            <x v="83"/>
            <x v="89"/>
          </reference>
          <reference field="3" count="1" selected="0">
            <x v="0"/>
          </reference>
          <reference field="6" count="1" selected="0">
            <x v="0"/>
          </reference>
        </references>
      </pivotArea>
    </format>
    <format dxfId="117">
      <pivotArea dataOnly="0" labelOnly="1" outline="0" fieldPosition="0">
        <references count="3">
          <reference field="0" count="5">
            <x v="26"/>
            <x v="48"/>
            <x v="54"/>
            <x v="79"/>
            <x v="95"/>
          </reference>
          <reference field="3" count="1" selected="0">
            <x v="1"/>
          </reference>
          <reference field="6" count="1" selected="0">
            <x v="0"/>
          </reference>
        </references>
      </pivotArea>
    </format>
    <format dxfId="116">
      <pivotArea dataOnly="0" labelOnly="1" outline="0" fieldPosition="0">
        <references count="3">
          <reference field="0" count="5">
            <x v="0"/>
            <x v="3"/>
            <x v="6"/>
            <x v="42"/>
            <x v="91"/>
          </reference>
          <reference field="3" count="1" selected="0">
            <x v="1"/>
          </reference>
          <reference field="6" count="1" selected="0">
            <x v="1"/>
          </reference>
        </references>
      </pivotArea>
    </format>
    <format dxfId="115">
      <pivotArea dataOnly="0" labelOnly="1" outline="0" fieldPosition="0">
        <references count="3">
          <reference field="0" count="5">
            <x v="1"/>
            <x v="11"/>
            <x v="30"/>
            <x v="53"/>
            <x v="73"/>
          </reference>
          <reference field="3" count="1" selected="0">
            <x v="0"/>
          </reference>
          <reference field="6" count="1" selected="0">
            <x v="2"/>
          </reference>
        </references>
      </pivotArea>
    </format>
    <format dxfId="114">
      <pivotArea dataOnly="0" labelOnly="1" outline="0" fieldPosition="0">
        <references count="3">
          <reference field="0" count="5">
            <x v="5"/>
            <x v="33"/>
            <x v="34"/>
            <x v="78"/>
            <x v="85"/>
          </reference>
          <reference field="3" count="1" selected="0">
            <x v="1"/>
          </reference>
          <reference field="6" count="1" selected="0">
            <x v="2"/>
          </reference>
        </references>
      </pivotArea>
    </format>
    <format dxfId="113">
      <pivotArea dataOnly="0" labelOnly="1" outline="0" fieldPosition="0">
        <references count="3">
          <reference field="0" count="5">
            <x v="9"/>
            <x v="38"/>
            <x v="49"/>
            <x v="65"/>
            <x v="77"/>
          </reference>
          <reference field="3" count="1" selected="0">
            <x v="1"/>
          </reference>
          <reference field="6" count="1" selected="0">
            <x v="3"/>
          </reference>
        </references>
      </pivotArea>
    </format>
    <format dxfId="112">
      <pivotArea dataOnly="0" labelOnly="1" outline="0" fieldPosition="0">
        <references count="1">
          <reference field="4294967294" count="2">
            <x v="0"/>
            <x v="1"/>
          </reference>
        </references>
      </pivotArea>
    </format>
    <format dxfId="111">
      <pivotArea field="6" type="button" dataOnly="0" labelOnly="1" outline="0" axis="axisRow" fieldPosition="0"/>
    </format>
    <format dxfId="110">
      <pivotArea field="3" type="button" dataOnly="0" labelOnly="1" outline="0" axis="axisRow" fieldPosition="1"/>
    </format>
    <format dxfId="109">
      <pivotArea field="0" type="button" dataOnly="0" labelOnly="1" outline="0" axis="axisRow" fieldPosition="2"/>
    </format>
    <format dxfId="108">
      <pivotArea dataOnly="0" labelOnly="1" outline="0" fieldPosition="0">
        <references count="1">
          <reference field="4294967294" count="2">
            <x v="0"/>
            <x v="1"/>
          </reference>
        </references>
      </pivotArea>
    </format>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field="3" type="button" dataOnly="0" labelOnly="1" outline="0" axis="axisRow" fieldPosition="1"/>
    </format>
    <format dxfId="103">
      <pivotArea field="0" type="button" dataOnly="0" labelOnly="1" outline="0" axis="axisRow" fieldPosition="2"/>
    </format>
    <format dxfId="102">
      <pivotArea dataOnly="0" labelOnly="1" outline="0" fieldPosition="0">
        <references count="1">
          <reference field="6" count="0"/>
        </references>
      </pivotArea>
    </format>
    <format dxfId="101">
      <pivotArea dataOnly="0" labelOnly="1" outline="0" fieldPosition="0">
        <references count="1">
          <reference field="6" count="0" defaultSubtotal="1"/>
        </references>
      </pivotArea>
    </format>
    <format dxfId="100">
      <pivotArea dataOnly="0" labelOnly="1" outline="0" fieldPosition="0">
        <references count="2">
          <reference field="3" count="0"/>
          <reference field="6" count="1" selected="0">
            <x v="0"/>
          </reference>
        </references>
      </pivotArea>
    </format>
    <format dxfId="99">
      <pivotArea dataOnly="0" labelOnly="1" outline="0" fieldPosition="0">
        <references count="2">
          <reference field="3" count="0" defaultSubtotal="1"/>
          <reference field="6" count="1" selected="0">
            <x v="0"/>
          </reference>
        </references>
      </pivotArea>
    </format>
    <format dxfId="98">
      <pivotArea dataOnly="0" labelOnly="1" outline="0" fieldPosition="0">
        <references count="2">
          <reference field="3" count="1">
            <x v="1"/>
          </reference>
          <reference field="6" count="1" selected="0">
            <x v="1"/>
          </reference>
        </references>
      </pivotArea>
    </format>
    <format dxfId="97">
      <pivotArea dataOnly="0" labelOnly="1" outline="0" fieldPosition="0">
        <references count="2">
          <reference field="3" count="1" defaultSubtotal="1">
            <x v="1"/>
          </reference>
          <reference field="6" count="1" selected="0">
            <x v="1"/>
          </reference>
        </references>
      </pivotArea>
    </format>
    <format dxfId="96">
      <pivotArea dataOnly="0" labelOnly="1" outline="0" fieldPosition="0">
        <references count="2">
          <reference field="3" count="0"/>
          <reference field="6" count="1" selected="0">
            <x v="2"/>
          </reference>
        </references>
      </pivotArea>
    </format>
    <format dxfId="95">
      <pivotArea dataOnly="0" labelOnly="1" outline="0" fieldPosition="0">
        <references count="2">
          <reference field="3" count="0" defaultSubtotal="1"/>
          <reference field="6" count="1" selected="0">
            <x v="2"/>
          </reference>
        </references>
      </pivotArea>
    </format>
    <format dxfId="94">
      <pivotArea dataOnly="0" labelOnly="1" outline="0" fieldPosition="0">
        <references count="2">
          <reference field="3" count="1">
            <x v="1"/>
          </reference>
          <reference field="6" count="1" selected="0">
            <x v="3"/>
          </reference>
        </references>
      </pivotArea>
    </format>
    <format dxfId="93">
      <pivotArea dataOnly="0" labelOnly="1" outline="0" fieldPosition="0">
        <references count="2">
          <reference field="3" count="1" defaultSubtotal="1">
            <x v="1"/>
          </reference>
          <reference field="6" count="1" selected="0">
            <x v="3"/>
          </reference>
        </references>
      </pivotArea>
    </format>
    <format dxfId="92">
      <pivotArea dataOnly="0" labelOnly="1" outline="0" fieldPosition="0">
        <references count="3">
          <reference field="0" count="5">
            <x v="35"/>
            <x v="51"/>
            <x v="80"/>
            <x v="83"/>
            <x v="89"/>
          </reference>
          <reference field="3" count="1" selected="0">
            <x v="0"/>
          </reference>
          <reference field="6" count="1" selected="0">
            <x v="0"/>
          </reference>
        </references>
      </pivotArea>
    </format>
    <format dxfId="91">
      <pivotArea dataOnly="0" labelOnly="1" outline="0" fieldPosition="0">
        <references count="3">
          <reference field="0" count="5">
            <x v="26"/>
            <x v="48"/>
            <x v="54"/>
            <x v="79"/>
            <x v="95"/>
          </reference>
          <reference field="3" count="1" selected="0">
            <x v="1"/>
          </reference>
          <reference field="6" count="1" selected="0">
            <x v="0"/>
          </reference>
        </references>
      </pivotArea>
    </format>
    <format dxfId="90">
      <pivotArea dataOnly="0" labelOnly="1" outline="0" fieldPosition="0">
        <references count="3">
          <reference field="0" count="5">
            <x v="0"/>
            <x v="3"/>
            <x v="6"/>
            <x v="42"/>
            <x v="91"/>
          </reference>
          <reference field="3" count="1" selected="0">
            <x v="1"/>
          </reference>
          <reference field="6" count="1" selected="0">
            <x v="1"/>
          </reference>
        </references>
      </pivotArea>
    </format>
    <format dxfId="89">
      <pivotArea dataOnly="0" labelOnly="1" outline="0" fieldPosition="0">
        <references count="3">
          <reference field="0" count="5">
            <x v="1"/>
            <x v="11"/>
            <x v="30"/>
            <x v="53"/>
            <x v="73"/>
          </reference>
          <reference field="3" count="1" selected="0">
            <x v="0"/>
          </reference>
          <reference field="6" count="1" selected="0">
            <x v="2"/>
          </reference>
        </references>
      </pivotArea>
    </format>
    <format dxfId="88">
      <pivotArea dataOnly="0" labelOnly="1" outline="0" fieldPosition="0">
        <references count="3">
          <reference field="0" count="5">
            <x v="5"/>
            <x v="33"/>
            <x v="34"/>
            <x v="78"/>
            <x v="85"/>
          </reference>
          <reference field="3" count="1" selected="0">
            <x v="1"/>
          </reference>
          <reference field="6" count="1" selected="0">
            <x v="2"/>
          </reference>
        </references>
      </pivotArea>
    </format>
    <format dxfId="87">
      <pivotArea dataOnly="0" labelOnly="1" outline="0" fieldPosition="0">
        <references count="3">
          <reference field="0" count="5">
            <x v="9"/>
            <x v="38"/>
            <x v="49"/>
            <x v="65"/>
            <x v="77"/>
          </reference>
          <reference field="3" count="1" selected="0">
            <x v="1"/>
          </reference>
          <reference field="6" count="1" selected="0">
            <x v="3"/>
          </reference>
        </references>
      </pivotArea>
    </format>
    <format dxfId="86">
      <pivotArea dataOnly="0" labelOnly="1" outline="0" fieldPosition="0">
        <references count="1">
          <reference field="4294967294" count="2">
            <x v="0"/>
            <x v="1"/>
          </reference>
        </references>
      </pivotArea>
    </format>
    <format dxfId="85">
      <pivotArea outline="0" collapsedLevelsAreSubtotals="1" fieldPosition="0"/>
    </format>
    <format dxfId="84">
      <pivotArea dataOnly="0" labelOnly="1" outline="0" fieldPosition="0">
        <references count="1">
          <reference field="6" count="0"/>
        </references>
      </pivotArea>
    </format>
    <format dxfId="83">
      <pivotArea dataOnly="0" labelOnly="1" outline="0" fieldPosition="0">
        <references count="2">
          <reference field="3" count="0"/>
          <reference field="6" count="1" selected="0">
            <x v="0"/>
          </reference>
        </references>
      </pivotArea>
    </format>
    <format dxfId="82">
      <pivotArea dataOnly="0" labelOnly="1" outline="0" fieldPosition="0">
        <references count="2">
          <reference field="3" count="0" defaultSubtotal="1"/>
          <reference field="6" count="1" selected="0">
            <x v="0"/>
          </reference>
        </references>
      </pivotArea>
    </format>
    <format dxfId="81">
      <pivotArea dataOnly="0" labelOnly="1" outline="0" fieldPosition="0">
        <references count="2">
          <reference field="3" count="1">
            <x v="1"/>
          </reference>
          <reference field="6" count="1" selected="0">
            <x v="1"/>
          </reference>
        </references>
      </pivotArea>
    </format>
    <format dxfId="80">
      <pivotArea dataOnly="0" labelOnly="1" outline="0" fieldPosition="0">
        <references count="2">
          <reference field="3" count="0"/>
          <reference field="6" count="1" selected="0">
            <x v="2"/>
          </reference>
        </references>
      </pivotArea>
    </format>
    <format dxfId="79">
      <pivotArea dataOnly="0" labelOnly="1" outline="0" fieldPosition="0">
        <references count="2">
          <reference field="3" count="0" defaultSubtotal="1"/>
          <reference field="6" count="1" selected="0">
            <x v="2"/>
          </reference>
        </references>
      </pivotArea>
    </format>
    <format dxfId="78">
      <pivotArea dataOnly="0" labelOnly="1" outline="0" fieldPosition="0">
        <references count="2">
          <reference field="3" count="1">
            <x v="1"/>
          </reference>
          <reference field="6" count="1" selected="0">
            <x v="3"/>
          </reference>
        </references>
      </pivotArea>
    </format>
    <format dxfId="77">
      <pivotArea dataOnly="0" labelOnly="1" outline="0" fieldPosition="0">
        <references count="3">
          <reference field="0" count="5">
            <x v="35"/>
            <x v="51"/>
            <x v="80"/>
            <x v="83"/>
            <x v="89"/>
          </reference>
          <reference field="3" count="1" selected="0">
            <x v="0"/>
          </reference>
          <reference field="6" count="1" selected="0">
            <x v="0"/>
          </reference>
        </references>
      </pivotArea>
    </format>
    <format dxfId="76">
      <pivotArea dataOnly="0" labelOnly="1" outline="0" fieldPosition="0">
        <references count="3">
          <reference field="0" count="5">
            <x v="26"/>
            <x v="48"/>
            <x v="54"/>
            <x v="79"/>
            <x v="95"/>
          </reference>
          <reference field="3" count="1" selected="0">
            <x v="1"/>
          </reference>
          <reference field="6" count="1" selected="0">
            <x v="0"/>
          </reference>
        </references>
      </pivotArea>
    </format>
    <format dxfId="75">
      <pivotArea dataOnly="0" labelOnly="1" outline="0" fieldPosition="0">
        <references count="3">
          <reference field="0" count="5">
            <x v="0"/>
            <x v="3"/>
            <x v="6"/>
            <x v="42"/>
            <x v="91"/>
          </reference>
          <reference field="3" count="1" selected="0">
            <x v="1"/>
          </reference>
          <reference field="6" count="1" selected="0">
            <x v="1"/>
          </reference>
        </references>
      </pivotArea>
    </format>
    <format dxfId="74">
      <pivotArea dataOnly="0" labelOnly="1" outline="0" fieldPosition="0">
        <references count="3">
          <reference field="0" count="5">
            <x v="1"/>
            <x v="11"/>
            <x v="30"/>
            <x v="53"/>
            <x v="73"/>
          </reference>
          <reference field="3" count="1" selected="0">
            <x v="0"/>
          </reference>
          <reference field="6" count="1" selected="0">
            <x v="2"/>
          </reference>
        </references>
      </pivotArea>
    </format>
    <format dxfId="73">
      <pivotArea dataOnly="0" labelOnly="1" outline="0" fieldPosition="0">
        <references count="3">
          <reference field="0" count="5">
            <x v="5"/>
            <x v="33"/>
            <x v="34"/>
            <x v="78"/>
            <x v="85"/>
          </reference>
          <reference field="3" count="1" selected="0">
            <x v="1"/>
          </reference>
          <reference field="6" count="1" selected="0">
            <x v="2"/>
          </reference>
        </references>
      </pivotArea>
    </format>
    <format dxfId="72">
      <pivotArea dataOnly="0" labelOnly="1" outline="0" fieldPosition="0">
        <references count="3">
          <reference field="0" count="5">
            <x v="9"/>
            <x v="38"/>
            <x v="49"/>
            <x v="65"/>
            <x v="77"/>
          </reference>
          <reference field="3" count="1" selected="0">
            <x v="1"/>
          </reference>
          <reference field="6" count="1" selected="0">
            <x v="3"/>
          </reference>
        </references>
      </pivotArea>
    </format>
    <format dxfId="71">
      <pivotArea dataOnly="0" labelOnly="1" outline="0" fieldPosition="0">
        <references count="1">
          <reference field="6" count="1">
            <x v="0"/>
          </reference>
        </references>
      </pivotArea>
    </format>
    <format dxfId="70">
      <pivotArea dataOnly="0" labelOnly="1" outline="0" fieldPosition="0">
        <references count="1">
          <reference field="6" count="1">
            <x v="1"/>
          </reference>
        </references>
      </pivotArea>
    </format>
    <format dxfId="69">
      <pivotArea dataOnly="0" labelOnly="1" outline="0" fieldPosition="0">
        <references count="1">
          <reference field="6" count="1">
            <x v="2"/>
          </reference>
        </references>
      </pivotArea>
    </format>
    <format dxfId="68">
      <pivotArea dataOnly="0" labelOnly="1" outline="0" fieldPosition="0">
        <references count="1">
          <reference field="6" count="1">
            <x v="3"/>
          </reference>
        </references>
      </pivotArea>
    </format>
    <format dxfId="67">
      <pivotArea field="6" type="button" dataOnly="0" labelOnly="1" outline="0" axis="axisRow" fieldPosition="0"/>
    </format>
    <format dxfId="66">
      <pivotArea field="3" type="button" dataOnly="0" labelOnly="1" outline="0" axis="axisRow" fieldPosition="1"/>
    </format>
    <format dxfId="65">
      <pivotArea field="0" type="button" dataOnly="0" labelOnly="1" outline="0" axis="axisRow" fieldPosition="2"/>
    </format>
    <format dxfId="64">
      <pivotArea dataOnly="0" labelOnly="1" outline="0" fieldPosition="0">
        <references count="1">
          <reference field="4294967294" count="2">
            <x v="0"/>
            <x v="1"/>
          </reference>
        </references>
      </pivotArea>
    </format>
    <format dxfId="63">
      <pivotArea dataOnly="0" labelOnly="1" outline="0" offset="IV1" fieldPosition="0">
        <references count="1">
          <reference field="6" count="1">
            <x v="0"/>
          </reference>
        </references>
      </pivotArea>
    </format>
    <format dxfId="62">
      <pivotArea field="6" type="button" dataOnly="0" labelOnly="1" outline="0" axis="axisRow" fieldPosition="0"/>
    </format>
    <format dxfId="61">
      <pivotArea field="3" type="button" dataOnly="0" labelOnly="1" outline="0" axis="axisRow" fieldPosition="1"/>
    </format>
    <format dxfId="60">
      <pivotArea field="0" type="button" dataOnly="0" labelOnly="1" outline="0" axis="axisRow" fieldPosition="2"/>
    </format>
    <format dxfId="59">
      <pivotArea dataOnly="0" labelOnly="1" outline="0" fieldPosition="0">
        <references count="1">
          <reference field="4294967294" count="2">
            <x v="0"/>
            <x v="1"/>
          </reference>
        </references>
      </pivotArea>
    </format>
    <format dxfId="58">
      <pivotArea field="6" type="button" dataOnly="0" labelOnly="1" outline="0" axis="axisRow" fieldPosition="0"/>
    </format>
    <format dxfId="57">
      <pivotArea field="3" type="button" dataOnly="0" labelOnly="1" outline="0" axis="axisRow" fieldPosition="1"/>
    </format>
    <format dxfId="56">
      <pivotArea field="0" type="button" dataOnly="0" labelOnly="1" outline="0" axis="axisRow" fieldPosition="2"/>
    </format>
    <format dxfId="55">
      <pivotArea dataOnly="0" labelOnly="1" outline="0" fieldPosition="0">
        <references count="1">
          <reference field="4294967294" count="2">
            <x v="0"/>
            <x v="1"/>
          </reference>
        </references>
      </pivotArea>
    </format>
    <format dxfId="54">
      <pivotArea outline="0" collapsedLevelsAreSubtotals="1" fieldPosition="0"/>
    </format>
    <format dxfId="53">
      <pivotArea dataOnly="0" labelOnly="1" outline="0" fieldPosition="0">
        <references count="1">
          <reference field="6" count="0"/>
        </references>
      </pivotArea>
    </format>
    <format dxfId="52">
      <pivotArea dataOnly="0" labelOnly="1" outline="0" fieldPosition="0">
        <references count="2">
          <reference field="3" count="0"/>
          <reference field="6" count="1" selected="0">
            <x v="0"/>
          </reference>
        </references>
      </pivotArea>
    </format>
    <format dxfId="51">
      <pivotArea dataOnly="0" labelOnly="1" outline="0" fieldPosition="0">
        <references count="2">
          <reference field="3" count="0" defaultSubtotal="1"/>
          <reference field="6" count="1" selected="0">
            <x v="0"/>
          </reference>
        </references>
      </pivotArea>
    </format>
    <format dxfId="50">
      <pivotArea dataOnly="0" labelOnly="1" outline="0" fieldPosition="0">
        <references count="2">
          <reference field="3" count="1">
            <x v="1"/>
          </reference>
          <reference field="6" count="1" selected="0">
            <x v="1"/>
          </reference>
        </references>
      </pivotArea>
    </format>
    <format dxfId="49">
      <pivotArea dataOnly="0" labelOnly="1" outline="0" fieldPosition="0">
        <references count="2">
          <reference field="3" count="0"/>
          <reference field="6" count="1" selected="0">
            <x v="2"/>
          </reference>
        </references>
      </pivotArea>
    </format>
    <format dxfId="48">
      <pivotArea dataOnly="0" labelOnly="1" outline="0" fieldPosition="0">
        <references count="2">
          <reference field="3" count="0" defaultSubtotal="1"/>
          <reference field="6" count="1" selected="0">
            <x v="2"/>
          </reference>
        </references>
      </pivotArea>
    </format>
    <format dxfId="47">
      <pivotArea dataOnly="0" labelOnly="1" outline="0" fieldPosition="0">
        <references count="2">
          <reference field="3" count="1">
            <x v="1"/>
          </reference>
          <reference field="6" count="1" selected="0">
            <x v="3"/>
          </reference>
        </references>
      </pivotArea>
    </format>
    <format dxfId="46">
      <pivotArea dataOnly="0" labelOnly="1" outline="0" fieldPosition="0">
        <references count="3">
          <reference field="0" count="5">
            <x v="35"/>
            <x v="51"/>
            <x v="80"/>
            <x v="83"/>
            <x v="89"/>
          </reference>
          <reference field="3" count="1" selected="0">
            <x v="0"/>
          </reference>
          <reference field="6" count="1" selected="0">
            <x v="0"/>
          </reference>
        </references>
      </pivotArea>
    </format>
    <format dxfId="45">
      <pivotArea dataOnly="0" labelOnly="1" outline="0" fieldPosition="0">
        <references count="3">
          <reference field="0" count="5">
            <x v="26"/>
            <x v="48"/>
            <x v="54"/>
            <x v="79"/>
            <x v="95"/>
          </reference>
          <reference field="3" count="1" selected="0">
            <x v="1"/>
          </reference>
          <reference field="6" count="1" selected="0">
            <x v="0"/>
          </reference>
        </references>
      </pivotArea>
    </format>
    <format dxfId="44">
      <pivotArea dataOnly="0" labelOnly="1" outline="0" fieldPosition="0">
        <references count="3">
          <reference field="0" count="5">
            <x v="0"/>
            <x v="3"/>
            <x v="6"/>
            <x v="42"/>
            <x v="91"/>
          </reference>
          <reference field="3" count="1" selected="0">
            <x v="1"/>
          </reference>
          <reference field="6" count="1" selected="0">
            <x v="1"/>
          </reference>
        </references>
      </pivotArea>
    </format>
    <format dxfId="43">
      <pivotArea dataOnly="0" labelOnly="1" outline="0" fieldPosition="0">
        <references count="3">
          <reference field="0" count="5">
            <x v="1"/>
            <x v="11"/>
            <x v="30"/>
            <x v="53"/>
            <x v="73"/>
          </reference>
          <reference field="3" count="1" selected="0">
            <x v="0"/>
          </reference>
          <reference field="6" count="1" selected="0">
            <x v="2"/>
          </reference>
        </references>
      </pivotArea>
    </format>
    <format dxfId="42">
      <pivotArea dataOnly="0" labelOnly="1" outline="0" fieldPosition="0">
        <references count="3">
          <reference field="0" count="5">
            <x v="5"/>
            <x v="33"/>
            <x v="34"/>
            <x v="78"/>
            <x v="85"/>
          </reference>
          <reference field="3" count="1" selected="0">
            <x v="1"/>
          </reference>
          <reference field="6" count="1" selected="0">
            <x v="2"/>
          </reference>
        </references>
      </pivotArea>
    </format>
    <format dxfId="41">
      <pivotArea dataOnly="0" labelOnly="1" outline="0" fieldPosition="0">
        <references count="3">
          <reference field="0" count="5">
            <x v="9"/>
            <x v="38"/>
            <x v="49"/>
            <x v="65"/>
            <x v="77"/>
          </reference>
          <reference field="3" count="1" selected="0">
            <x v="1"/>
          </reference>
          <reference field="6" count="1" selected="0">
            <x v="3"/>
          </reference>
        </references>
      </pivotArea>
    </format>
    <format dxfId="40">
      <pivotArea outline="0" fieldPosition="0">
        <references count="2">
          <reference field="3" count="1" selected="0" defaultSubtotal="1">
            <x v="1"/>
          </reference>
          <reference field="6" count="0" selected="0"/>
        </references>
      </pivotArea>
    </format>
    <format dxfId="39">
      <pivotArea outline="0" fieldPosition="0">
        <references count="1">
          <reference field="6" count="0" selected="0" defaultSubtotal="1"/>
        </references>
      </pivotArea>
    </format>
    <format dxfId="38">
      <pivotArea dataOnly="0" labelOnly="1" outline="0" offset="IV256" fieldPosition="0">
        <references count="1">
          <reference field="6" count="0"/>
        </references>
      </pivotArea>
    </format>
    <format dxfId="37">
      <pivotArea dataOnly="0" labelOnly="1" outline="0" fieldPosition="0">
        <references count="1">
          <reference field="6" count="0" defaultSubtotal="1"/>
        </references>
      </pivotArea>
    </format>
    <format dxfId="36">
      <pivotArea dataOnly="0" labelOnly="1" outline="0" fieldPosition="0">
        <references count="2">
          <reference field="3" count="1" defaultSubtotal="1">
            <x v="1"/>
          </reference>
          <reference field="6" count="0" selected="0"/>
        </references>
      </pivotArea>
    </format>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field="3" type="button" dataOnly="0" labelOnly="1" outline="0" axis="axisRow" fieldPosition="1"/>
    </format>
    <format dxfId="31">
      <pivotArea field="0" type="button" dataOnly="0" labelOnly="1" outline="0" axis="axisRow" fieldPosition="2"/>
    </format>
    <format dxfId="30">
      <pivotArea dataOnly="0" labelOnly="1" outline="0" fieldPosition="0">
        <references count="1">
          <reference field="6" count="0"/>
        </references>
      </pivotArea>
    </format>
    <format dxfId="29">
      <pivotArea dataOnly="0" labelOnly="1" outline="0" fieldPosition="0">
        <references count="1">
          <reference field="6" count="0" defaultSubtotal="1"/>
        </references>
      </pivotArea>
    </format>
    <format dxfId="28">
      <pivotArea dataOnly="0" labelOnly="1" outline="0" fieldPosition="0">
        <references count="2">
          <reference field="3" count="0"/>
          <reference field="6" count="1" selected="0">
            <x v="0"/>
          </reference>
        </references>
      </pivotArea>
    </format>
    <format dxfId="27">
      <pivotArea dataOnly="0" labelOnly="1" outline="0" fieldPosition="0">
        <references count="2">
          <reference field="3" count="0" defaultSubtotal="1"/>
          <reference field="6" count="1" selected="0">
            <x v="0"/>
          </reference>
        </references>
      </pivotArea>
    </format>
    <format dxfId="26">
      <pivotArea dataOnly="0" labelOnly="1" outline="0" fieldPosition="0">
        <references count="2">
          <reference field="3" count="1">
            <x v="1"/>
          </reference>
          <reference field="6" count="1" selected="0">
            <x v="1"/>
          </reference>
        </references>
      </pivotArea>
    </format>
    <format dxfId="25">
      <pivotArea dataOnly="0" labelOnly="1" outline="0" fieldPosition="0">
        <references count="2">
          <reference field="3" count="1" defaultSubtotal="1">
            <x v="1"/>
          </reference>
          <reference field="6" count="1" selected="0">
            <x v="1"/>
          </reference>
        </references>
      </pivotArea>
    </format>
    <format dxfId="24">
      <pivotArea dataOnly="0" labelOnly="1" outline="0" fieldPosition="0">
        <references count="2">
          <reference field="3" count="0"/>
          <reference field="6" count="1" selected="0">
            <x v="2"/>
          </reference>
        </references>
      </pivotArea>
    </format>
    <format dxfId="23">
      <pivotArea dataOnly="0" labelOnly="1" outline="0" fieldPosition="0">
        <references count="2">
          <reference field="3" count="0" defaultSubtotal="1"/>
          <reference field="6" count="1" selected="0">
            <x v="2"/>
          </reference>
        </references>
      </pivotArea>
    </format>
    <format dxfId="22">
      <pivotArea dataOnly="0" labelOnly="1" outline="0" fieldPosition="0">
        <references count="2">
          <reference field="3" count="1">
            <x v="1"/>
          </reference>
          <reference field="6" count="1" selected="0">
            <x v="3"/>
          </reference>
        </references>
      </pivotArea>
    </format>
    <format dxfId="21">
      <pivotArea dataOnly="0" labelOnly="1" outline="0" fieldPosition="0">
        <references count="2">
          <reference field="3" count="1" defaultSubtotal="1">
            <x v="1"/>
          </reference>
          <reference field="6" count="1" selected="0">
            <x v="3"/>
          </reference>
        </references>
      </pivotArea>
    </format>
    <format dxfId="20">
      <pivotArea dataOnly="0" labelOnly="1" outline="0" fieldPosition="0">
        <references count="3">
          <reference field="0" count="5">
            <x v="35"/>
            <x v="51"/>
            <x v="80"/>
            <x v="83"/>
            <x v="89"/>
          </reference>
          <reference field="3" count="1" selected="0">
            <x v="0"/>
          </reference>
          <reference field="6" count="1" selected="0">
            <x v="0"/>
          </reference>
        </references>
      </pivotArea>
    </format>
    <format dxfId="19">
      <pivotArea dataOnly="0" labelOnly="1" outline="0" fieldPosition="0">
        <references count="3">
          <reference field="0" count="5">
            <x v="26"/>
            <x v="48"/>
            <x v="54"/>
            <x v="79"/>
            <x v="95"/>
          </reference>
          <reference field="3" count="1" selected="0">
            <x v="1"/>
          </reference>
          <reference field="6" count="1" selected="0">
            <x v="0"/>
          </reference>
        </references>
      </pivotArea>
    </format>
    <format dxfId="18">
      <pivotArea dataOnly="0" labelOnly="1" outline="0" fieldPosition="0">
        <references count="3">
          <reference field="0" count="5">
            <x v="0"/>
            <x v="3"/>
            <x v="6"/>
            <x v="42"/>
            <x v="91"/>
          </reference>
          <reference field="3" count="1" selected="0">
            <x v="1"/>
          </reference>
          <reference field="6" count="1" selected="0">
            <x v="1"/>
          </reference>
        </references>
      </pivotArea>
    </format>
    <format dxfId="17">
      <pivotArea dataOnly="0" labelOnly="1" outline="0" fieldPosition="0">
        <references count="3">
          <reference field="0" count="5">
            <x v="1"/>
            <x v="11"/>
            <x v="30"/>
            <x v="53"/>
            <x v="73"/>
          </reference>
          <reference field="3" count="1" selected="0">
            <x v="0"/>
          </reference>
          <reference field="6" count="1" selected="0">
            <x v="2"/>
          </reference>
        </references>
      </pivotArea>
    </format>
    <format dxfId="16">
      <pivotArea dataOnly="0" labelOnly="1" outline="0" fieldPosition="0">
        <references count="3">
          <reference field="0" count="5">
            <x v="5"/>
            <x v="33"/>
            <x v="34"/>
            <x v="78"/>
            <x v="85"/>
          </reference>
          <reference field="3" count="1" selected="0">
            <x v="1"/>
          </reference>
          <reference field="6" count="1" selected="0">
            <x v="2"/>
          </reference>
        </references>
      </pivotArea>
    </format>
    <format dxfId="15">
      <pivotArea dataOnly="0" labelOnly="1" outline="0" fieldPosition="0">
        <references count="3">
          <reference field="0" count="5">
            <x v="9"/>
            <x v="38"/>
            <x v="49"/>
            <x v="65"/>
            <x v="77"/>
          </reference>
          <reference field="3" count="1" selected="0">
            <x v="1"/>
          </reference>
          <reference field="6" count="1" selected="0">
            <x v="3"/>
          </reference>
        </references>
      </pivotArea>
    </format>
    <format dxfId="14">
      <pivotArea dataOnly="0" labelOnly="1" outline="0" fieldPosition="0">
        <references count="1">
          <reference field="4294967294" count="2">
            <x v="0"/>
            <x v="1"/>
          </reference>
        </references>
      </pivotArea>
    </format>
  </formats>
  <pivotTableStyleInfo name="PivotStyleDark21"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5D2FA-4609-4D52-8889-E63C84951CBC}"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Q21:R25" firstHeaderRow="1" firstDataRow="1" firstDataCol="1"/>
  <pivotFields count="6">
    <pivotField compact="0" outline="0" showAll="0" defaultSubtotal="0">
      <items count="100">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s>
    </pivotField>
    <pivotField dataField="1" compact="0" outline="0" showAll="0" defaultSubtotal="0"/>
    <pivotField compact="0" outline="0" showAll="0" defaultSubtotal="0"/>
    <pivotField compact="0" outline="0" showAll="0" defaultSubtotal="0">
      <items count="2">
        <item x="1"/>
        <item x="0"/>
      </items>
    </pivotField>
    <pivotField axis="axisRow" compact="0" outline="0" subtotalTop="0" showAll="0" defaultSubtotal="0">
      <items count="4">
        <item x="2"/>
        <item x="1"/>
        <item x="0"/>
        <item x="3"/>
      </items>
    </pivotField>
    <pivotField compact="0" outline="0" subtotalTop="0" showAll="0" defaultSubtotal="0">
      <items count="4">
        <item x="1"/>
        <item x="3"/>
        <item x="2"/>
        <item x="0"/>
      </items>
    </pivotField>
  </pivotFields>
  <rowFields count="1">
    <field x="4"/>
  </rowFields>
  <rowItems count="4">
    <i>
      <x/>
    </i>
    <i>
      <x v="1"/>
    </i>
    <i>
      <x v="2"/>
    </i>
    <i>
      <x v="3"/>
    </i>
  </rowItems>
  <colItems count="1">
    <i/>
  </colItems>
  <dataFields count="1">
    <dataField name="Total Profit" fld="1" baseField="0" baseItem="0" numFmtId="43"/>
  </dataFields>
  <formats count="1">
    <format dxfId="10">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1AAD6-66B9-45C2-AC66-B3DA64247BC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KU ">
  <location ref="B6:D14" firstHeaderRow="0" firstDataRow="1" firstDataCol="1"/>
  <pivotFields count="3">
    <pivotField axis="axisRow" showAll="0" measureFilter="1">
      <items count="25">
        <item x="0"/>
        <item x="4"/>
        <item x="5"/>
        <item x="6"/>
        <item x="7"/>
        <item x="8"/>
        <item x="9"/>
        <item x="10"/>
        <item x="19"/>
        <item x="11"/>
        <item x="12"/>
        <item x="1"/>
        <item x="13"/>
        <item x="14"/>
        <item x="15"/>
        <item x="16"/>
        <item x="17"/>
        <item x="2"/>
        <item x="18"/>
        <item x="3"/>
        <item x="20"/>
        <item x="21"/>
        <item x="22"/>
        <item x="23"/>
        <item t="default"/>
      </items>
    </pivotField>
    <pivotField dataField="1" showAll="0"/>
    <pivotField dataField="1" showAll="0"/>
  </pivotFields>
  <rowFields count="1">
    <field x="0"/>
  </rowFields>
  <rowItems count="8">
    <i>
      <x/>
    </i>
    <i>
      <x v="2"/>
    </i>
    <i>
      <x v="3"/>
    </i>
    <i>
      <x v="7"/>
    </i>
    <i>
      <x v="8"/>
    </i>
    <i>
      <x v="9"/>
    </i>
    <i>
      <x v="11"/>
    </i>
    <i>
      <x v="19"/>
    </i>
  </rowItems>
  <colFields count="1">
    <field x="-2"/>
  </colFields>
  <colItems count="2">
    <i>
      <x/>
    </i>
    <i i="1">
      <x v="1"/>
    </i>
  </colItems>
  <dataFields count="2">
    <dataField name="Average of shipping Lead Time" fld="2" subtotal="average" baseField="0" baseItem="1"/>
    <dataField name="Average of Shipping Time" fld="1" subtotal="average" baseField="0" baseItem="3"/>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ED6A9-F077-439C-8C71-919EBF8EC4EC}" name="pt_detaile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Category">
  <location ref="Y6:AC46" firstHeaderRow="0" firstDataRow="1" firstDataCol="3"/>
  <pivotFields count="7">
    <pivotField name="SKU " axis="axisRow" compact="0" outline="0" showAll="0" measureFilter="1">
      <items count="101">
        <item x="6"/>
        <item x="82"/>
        <item x="39"/>
        <item x="0"/>
        <item x="34"/>
        <item x="70"/>
        <item x="4"/>
        <item x="41"/>
        <item x="43"/>
        <item x="8"/>
        <item x="38"/>
        <item x="66"/>
        <item x="99"/>
        <item x="53"/>
        <item x="1"/>
        <item x="37"/>
        <item x="73"/>
        <item x="96"/>
        <item x="78"/>
        <item x="33"/>
        <item x="40"/>
        <item x="87"/>
        <item x="55"/>
        <item x="91"/>
        <item x="79"/>
        <item x="68"/>
        <item x="25"/>
        <item x="31"/>
        <item x="24"/>
        <item x="13"/>
        <item x="76"/>
        <item x="46"/>
        <item x="7"/>
        <item x="84"/>
        <item x="65"/>
        <item x="32"/>
        <item x="2"/>
        <item x="90"/>
        <item x="29"/>
        <item x="28"/>
        <item x="95"/>
        <item x="58"/>
        <item x="5"/>
        <item x="77"/>
        <item x="75"/>
        <item x="97"/>
        <item x="85"/>
        <item x="62"/>
        <item x="14"/>
        <item x="49"/>
        <item x="54"/>
        <item x="36"/>
        <item x="88"/>
        <item x="59"/>
        <item x="23"/>
        <item x="12"/>
        <item x="94"/>
        <item x="86"/>
        <item x="89"/>
        <item x="30"/>
        <item x="93"/>
        <item x="17"/>
        <item x="67"/>
        <item x="60"/>
        <item x="3"/>
        <item x="51"/>
        <item x="16"/>
        <item x="19"/>
        <item x="92"/>
        <item x="47"/>
        <item x="42"/>
        <item x="52"/>
        <item x="26"/>
        <item x="64"/>
        <item x="45"/>
        <item x="57"/>
        <item x="81"/>
        <item x="11"/>
        <item x="56"/>
        <item x="18"/>
        <item x="27"/>
        <item x="72"/>
        <item x="20"/>
        <item x="48"/>
        <item x="71"/>
        <item x="63"/>
        <item x="83"/>
        <item x="15"/>
        <item x="44"/>
        <item x="35"/>
        <item x="61"/>
        <item x="10"/>
        <item x="21"/>
        <item x="74"/>
        <item x="80"/>
        <item x="22"/>
        <item x="69"/>
        <item x="98"/>
        <item x="50"/>
        <item x="9"/>
        <item t="default"/>
      </items>
    </pivotField>
    <pivotField dataField="1" compact="0" outline="0" showAll="0"/>
    <pivotField dataField="1" compact="0" outline="0" showAll="0"/>
    <pivotField axis="axisRow" compact="0" outline="0" showAll="0">
      <items count="3">
        <item x="1"/>
        <item x="0"/>
        <item t="default"/>
      </items>
    </pivotField>
    <pivotField compact="0" outline="0" showAll="0"/>
    <pivotField compact="0" outline="0" showAll="0"/>
    <pivotField axis="axisRow" compact="0" outline="0" showAll="0">
      <items count="5">
        <item x="2"/>
        <item x="0"/>
        <item x="3"/>
        <item x="1"/>
        <item t="default"/>
      </items>
    </pivotField>
  </pivotFields>
  <rowFields count="3">
    <field x="6"/>
    <field x="3"/>
    <field x="0"/>
  </rowFields>
  <rowItems count="40">
    <i>
      <x/>
      <x/>
      <x v="35"/>
    </i>
    <i r="2">
      <x v="51"/>
    </i>
    <i r="2">
      <x v="80"/>
    </i>
    <i r="2">
      <x v="83"/>
    </i>
    <i r="2">
      <x v="89"/>
    </i>
    <i t="default" r="1">
      <x/>
    </i>
    <i r="1">
      <x v="1"/>
      <x v="26"/>
    </i>
    <i r="2">
      <x v="48"/>
    </i>
    <i r="2">
      <x v="54"/>
    </i>
    <i r="2">
      <x v="79"/>
    </i>
    <i r="2">
      <x v="95"/>
    </i>
    <i t="default" r="1">
      <x v="1"/>
    </i>
    <i t="default">
      <x/>
    </i>
    <i>
      <x v="1"/>
      <x v="1"/>
      <x/>
    </i>
    <i r="2">
      <x v="3"/>
    </i>
    <i r="2">
      <x v="6"/>
    </i>
    <i r="2">
      <x v="42"/>
    </i>
    <i r="2">
      <x v="91"/>
    </i>
    <i t="default" r="1">
      <x v="1"/>
    </i>
    <i t="default">
      <x v="1"/>
    </i>
    <i>
      <x v="2"/>
      <x/>
      <x v="1"/>
    </i>
    <i r="2">
      <x v="11"/>
    </i>
    <i r="2">
      <x v="30"/>
    </i>
    <i r="2">
      <x v="53"/>
    </i>
    <i r="2">
      <x v="73"/>
    </i>
    <i t="default" r="1">
      <x/>
    </i>
    <i r="1">
      <x v="1"/>
      <x v="5"/>
    </i>
    <i r="2">
      <x v="33"/>
    </i>
    <i r="2">
      <x v="34"/>
    </i>
    <i r="2">
      <x v="78"/>
    </i>
    <i r="2">
      <x v="85"/>
    </i>
    <i t="default" r="1">
      <x v="1"/>
    </i>
    <i t="default">
      <x v="2"/>
    </i>
    <i>
      <x v="3"/>
      <x v="1"/>
      <x v="9"/>
    </i>
    <i r="2">
      <x v="38"/>
    </i>
    <i r="2">
      <x v="49"/>
    </i>
    <i r="2">
      <x v="65"/>
    </i>
    <i r="2">
      <x v="77"/>
    </i>
    <i t="default" r="1">
      <x v="1"/>
    </i>
    <i t="default">
      <x v="3"/>
    </i>
  </rowItems>
  <colFields count="1">
    <field x="-2"/>
  </colFields>
  <colItems count="2">
    <i>
      <x/>
    </i>
    <i i="1">
      <x v="1"/>
    </i>
  </colItems>
  <dataFields count="2">
    <dataField name="profit " fld="1" baseField="0" baseItem="0"/>
    <dataField name="Risk Score " fld="2" baseField="0" baseItem="0"/>
  </dataFields>
  <formats count="2">
    <format dxfId="12">
      <pivotArea outline="0" collapsedLevelsAreSubtotals="1" fieldPosition="0"/>
    </format>
    <format dxfId="11">
      <pivotArea field="6" type="button" dataOnly="0" labelOnly="1" outline="0" axis="axisRow" fieldPosition="0"/>
    </format>
  </formats>
  <pivotTableStyleInfo name="PivotStyleDark7"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A937BD-A40B-4DF5-8D1F-0C2FEED833AC}"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upplier Name ">
  <location ref="G6:H11" firstHeaderRow="1" firstDataRow="1" firstDataCol="1"/>
  <pivotFields count="3">
    <pivotField axis="axisRow" showAll="0">
      <items count="6">
        <item x="4"/>
        <item x="3"/>
        <item x="2"/>
        <item x="1"/>
        <item x="0"/>
        <item t="default"/>
      </items>
    </pivotField>
    <pivotField dataField="1" showAll="0"/>
    <pivotField showAll="0"/>
  </pivotFields>
  <rowFields count="1">
    <field x="0"/>
  </rowFields>
  <rowItems count="5">
    <i>
      <x/>
    </i>
    <i>
      <x v="1"/>
    </i>
    <i>
      <x v="2"/>
    </i>
    <i>
      <x v="3"/>
    </i>
    <i>
      <x v="4"/>
    </i>
  </rowItems>
  <colItems count="1">
    <i/>
  </colItems>
  <dataFields count="1">
    <dataField name="AVG Defect Rate " fld="1"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106ED0-0C62-4B67-8953-277226B08EF7}"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KU ">
  <location ref="L6:N37" firstHeaderRow="0" firstDataRow="1" firstDataCol="1"/>
  <pivotFields count="3">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2">
    <i>
      <x/>
    </i>
    <i i="1">
      <x v="1"/>
    </i>
  </colItems>
  <dataFields count="2">
    <dataField name="cost " fld="1" baseField="0" baseItem="0"/>
    <dataField name="profit "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6A753D-B80B-49ED-9556-348239679053}"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6:T9" firstHeaderRow="0" firstDataRow="1" firstDataCol="2"/>
  <pivotFields count="6">
    <pivotField dataField="1" compact="0" outline="0" showAll="0" defaultSubtotal="0">
      <items count="100">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s>
    </pivotField>
    <pivotField dataField="1" compact="0" outline="0" showAll="0" defaultSubtotal="0"/>
    <pivotField compact="0" outline="0" showAll="0" defaultSubtotal="0"/>
    <pivotField compact="0" outline="0" showAll="0" defaultSubtotal="0">
      <items count="2">
        <item x="1"/>
        <item x="0"/>
      </items>
    </pivotField>
    <pivotField axis="axisRow" compact="0" outline="0" subtotalTop="0" showAll="0" defaultSubtotal="0">
      <items count="4">
        <item x="3"/>
        <item x="0"/>
        <item x="1"/>
        <item x="2"/>
      </items>
    </pivotField>
    <pivotField axis="axisRow" compact="0" outline="0" subtotalTop="0" showAll="0" defaultSubtotal="0">
      <items count="4">
        <item h="1" x="1"/>
        <item x="3"/>
        <item x="2"/>
        <item x="0"/>
      </items>
    </pivotField>
  </pivotFields>
  <rowFields count="2">
    <field x="5"/>
    <field x="4"/>
  </rowFields>
  <rowItems count="3">
    <i>
      <x v="1"/>
      <x/>
    </i>
    <i>
      <x v="2"/>
      <x v="3"/>
    </i>
    <i>
      <x v="3"/>
      <x v="1"/>
    </i>
  </rowItems>
  <colFields count="1">
    <field x="-2"/>
  </colFields>
  <colItems count="2">
    <i>
      <x/>
    </i>
    <i i="1">
      <x v="1"/>
    </i>
  </colItems>
  <dataFields count="2">
    <dataField name="Total Profit" fld="1" baseField="0" baseItem="0"/>
    <dataField name="SKU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1C3293-B1FF-47F5-AE45-872B4CF79B05}" name="PivotTable2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upplier Name ">
  <location ref="G14:H19" firstHeaderRow="1" firstDataRow="1" firstDataCol="1"/>
  <pivotFields count="3">
    <pivotField axis="axisRow" showAll="0">
      <items count="6">
        <item x="1"/>
        <item x="3"/>
        <item x="0"/>
        <item x="2"/>
        <item x="4"/>
        <item t="default"/>
      </items>
    </pivotField>
    <pivotField showAll="0"/>
    <pivotField dataField="1" showAll="0"/>
  </pivotFields>
  <rowFields count="1">
    <field x="0"/>
  </rowFields>
  <rowItems count="5">
    <i>
      <x/>
    </i>
    <i>
      <x v="1"/>
    </i>
    <i>
      <x v="2"/>
    </i>
    <i>
      <x v="3"/>
    </i>
    <i>
      <x v="4"/>
    </i>
  </rowItems>
  <colItems count="1">
    <i/>
  </colItems>
  <dataFields count="1">
    <dataField name=" Sku Count" fld="2"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A8DEB4-82C6-4F81-9905-195EC0F5D18D}"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14:Q15" firstHeaderRow="1" firstDataRow="1" firstDataCol="0"/>
  <pivotFields count="6">
    <pivotField compact="0" outline="0" showAll="0" defaultSubtotal="0">
      <items count="100">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s>
    </pivotField>
    <pivotField dataField="1" compact="0" outline="0" showAll="0" defaultSubtotal="0"/>
    <pivotField compact="0" outline="0" showAll="0" defaultSubtotal="0"/>
    <pivotField compact="0" outline="0" showAll="0" defaultSubtotal="0">
      <items count="2">
        <item x="1"/>
        <item x="0"/>
      </items>
    </pivotField>
    <pivotField compact="0" outline="0" subtotalTop="0" showAll="0" defaultSubtotal="0">
      <items count="4">
        <item x="3"/>
        <item x="0"/>
        <item x="1"/>
        <item x="2"/>
      </items>
    </pivotField>
    <pivotField compact="0" outline="0" subtotalTop="0" showAll="0" defaultSubtotal="0">
      <items count="4">
        <item x="1"/>
        <item x="3"/>
        <item x="2"/>
        <item x="0"/>
      </items>
    </pivotField>
  </pivotFields>
  <rowItems count="1">
    <i/>
  </rowItems>
  <colItems count="1">
    <i/>
  </colItems>
  <dataFields count="1">
    <dataField name="Total Profi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22B9CA-FEE9-4117-8BA8-AE8FCE97D8C6}" name="PT_Summa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ction">
  <location ref="AM6:AN11" firstHeaderRow="1" firstDataRow="1" firstDataCol="1"/>
  <pivotFields count="7">
    <pivotField showAll="0"/>
    <pivotField dataField="1" showAll="0"/>
    <pivotField showAll="0"/>
    <pivotField showAll="0"/>
    <pivotField showAll="0"/>
    <pivotField showAll="0"/>
    <pivotField axis="axisRow" showAll="0">
      <items count="5">
        <item x="1"/>
        <item x="3"/>
        <item x="0"/>
        <item x="2"/>
        <item t="default"/>
      </items>
    </pivotField>
  </pivotFields>
  <rowFields count="1">
    <field x="6"/>
  </rowFields>
  <rowItems count="5">
    <i>
      <x/>
    </i>
    <i>
      <x v="1"/>
    </i>
    <i>
      <x v="2"/>
    </i>
    <i>
      <x v="3"/>
    </i>
    <i t="grand">
      <x/>
    </i>
  </rowItems>
  <colItems count="1">
    <i/>
  </colItems>
  <dataFields count="1">
    <dataField name="Profit " fld="1" baseField="0" baseItem="0"/>
  </dataFields>
  <formats count="1">
    <format dxfId="13">
      <pivotArea collapsedLevelsAreSubtotals="1" fieldPosition="0">
        <references count="1">
          <reference field="6" count="0"/>
        </references>
      </pivotArea>
    </format>
  </formats>
  <chartFormats count="5">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0"/>
          </reference>
        </references>
      </pivotArea>
    </chartFormat>
    <chartFormat chart="12" format="4">
      <pivotArea type="data" outline="0" fieldPosition="0">
        <references count="2">
          <reference field="4294967294" count="1" selected="0">
            <x v="0"/>
          </reference>
          <reference field="6" count="1" selected="0">
            <x v="3"/>
          </reference>
        </references>
      </pivotArea>
    </chartFormat>
    <chartFormat chart="12" format="5">
      <pivotArea type="data" outline="0" fieldPosition="0">
        <references count="2">
          <reference field="4294967294" count="1" selected="0">
            <x v="0"/>
          </reference>
          <reference field="6" count="1" selected="0">
            <x v="2"/>
          </reference>
        </references>
      </pivotArea>
    </chartFormat>
    <chartFormat chart="1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80BE5079-1ACA-4706-AE34-1EBDC1762B30}" autoFormatId="16" applyNumberFormats="0" applyBorderFormats="0" applyFontFormats="0" applyPatternFormats="0" applyAlignmentFormats="0" applyWidthHeightFormats="0">
  <queryTableRefresh nextId="4">
    <queryTableFields count="3">
      <queryTableField id="1" name="sku" tableColumnId="1"/>
      <queryTableField id="2" name="shipping_time" tableColumnId="2"/>
      <queryTableField id="3" name="shipping_lead_tim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C3169BD-70DD-4B93-80B9-50A360C5672C}" autoFormatId="16" applyNumberFormats="0" applyBorderFormats="0" applyFontFormats="0" applyPatternFormats="0" applyAlignmentFormats="0" applyWidthHeightFormats="0">
  <queryTableRefresh nextId="4">
    <queryTableFields count="3">
      <queryTableField id="1" name="supplier_name" tableColumnId="1"/>
      <queryTableField id="2" name="avg_defect_rate" tableColumnId="2"/>
      <queryTableField id="3" name="sku_coun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56DF5823-08AE-4B8A-A1D1-A2F5E374FE10}" autoFormatId="16" applyNumberFormats="0" applyBorderFormats="0" applyFontFormats="0" applyPatternFormats="0" applyAlignmentFormats="0" applyWidthHeightFormats="0">
  <queryTableRefresh nextId="4">
    <queryTableFields count="3">
      <queryTableField id="1" name="sku" tableColumnId="1"/>
      <queryTableField id="2" name="cost" tableColumnId="2"/>
      <queryTableField id="3" name="profi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EF606533-5C6F-4B8A-8E94-F6DFF1D18D3C}" autoFormatId="16" applyNumberFormats="0" applyBorderFormats="0" applyFontFormats="0" applyPatternFormats="0" applyAlignmentFormats="0" applyWidthHeightFormats="0">
  <queryTableRefresh nextId="7" unboundColumnsRight="2">
    <queryTableFields count="6">
      <queryTableField id="1" name="sku" tableColumnId="1"/>
      <queryTableField id="2" name="total_profit" tableColumnId="2"/>
      <queryTableField id="3" name="risk_score" tableColumnId="3"/>
      <queryTableField id="4" name="risk_tolerance" tableColumnId="4"/>
      <queryTableField id="5" dataBound="0" tableColumnId="5"/>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E2BB6316-95D4-4BF0-9EFC-8894E5CE99BF}" autoFormatId="16" applyNumberFormats="0" applyBorderFormats="0" applyFontFormats="0" applyPatternFormats="0" applyAlignmentFormats="0" applyWidthHeightFormats="0">
  <queryTableRefresh nextId="8" unboundColumnsRight="1">
    <queryTableFields count="7">
      <queryTableField id="1" name="sku" tableColumnId="1"/>
      <queryTableField id="2" name="profit" tableColumnId="2"/>
      <queryTableField id="3" name="risk_score" tableColumnId="3"/>
      <queryTableField id="4" name="Category" tableColumnId="4"/>
      <queryTableField id="5" name="priority_score" tableColumnId="5"/>
      <queryTableField id="6" name="Rank_score" tableColumnId="6"/>
      <queryTableField id="7"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 xr10:uid="{9919695B-4C4D-4DF6-A6E2-D3B97AB46426}" sourceName="action">
  <pivotTables>
    <pivotTable tabId="1" name="PivotTable5"/>
  </pivotTables>
  <data>
    <tabular pivotCacheId="1422552755">
      <items count="4">
        <i x="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691945-2126-43A8-A60A-2D6381706AEE}" sourceName="Category">
  <pivotTables>
    <pivotTable tabId="1" name="pt_detailed"/>
    <pivotTable tabId="7" name="PivotTable27"/>
  </pivotTables>
  <data>
    <tabular pivotCacheId="1645848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1" xr10:uid="{2128D94C-0E8F-439F-96ED-999E086C1E8C}" sourceName="Action">
  <pivotTables>
    <pivotTable tabId="1" name="pt_detailed"/>
    <pivotTable tabId="7" name="PivotTable27"/>
  </pivotTables>
  <data>
    <tabular pivotCacheId="164584861">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B1CE8C3-E1B1-428D-8B2F-705738D00399}" cache="Slicer_Category" caption="Category" style="SlicerStyleDark6 2" rowHeight="234950"/>
  <slicer name="Action 2" xr10:uid="{5C2E9DFB-2238-4B74-A3BF-81BBD50F210A}" cache="Slicer_Action1" caption="Action" style="SlicerStyleDark6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on" xr10:uid="{4464645A-5E54-435C-B762-9E03E2AF263F}" cache="Slicer_action" caption="action" rowHeight="234950"/>
  <slicer name="Category" xr10:uid="{93B1D021-CED0-4576-8B5C-90E58C1DC5A9}" cache="Slicer_Category" caption="Category" style="SlicerStyleDark6" rowHeight="234950"/>
  <slicer name="Action 1" xr10:uid="{A4DA906A-48F7-4350-8B35-5C780B7F0482}" cache="Slicer_Action1" caption="Action"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9B09C-B7AB-49E8-943B-3E821474E18B}" name="shipping_lead_time" displayName="shipping_lead_time" ref="A1:C25" tableType="queryTable" totalsRowShown="0">
  <autoFilter ref="A1:C25" xr:uid="{1229B09C-B7AB-49E8-943B-3E821474E18B}"/>
  <tableColumns count="3">
    <tableColumn id="1" xr3:uid="{3398877E-1B37-4854-95E1-27942942D861}" uniqueName="1" name="sku" queryTableFieldId="1" dataDxfId="9"/>
    <tableColumn id="2" xr3:uid="{053DCE65-D4B3-4E0A-8DB3-CA30A243F32B}" uniqueName="2" name="shipping_time" queryTableFieldId="2"/>
    <tableColumn id="3" xr3:uid="{BB81EE49-9239-4535-BC61-BF1948BBC8BA}" uniqueName="3" name="shipping_lead_time" queryTableFieldId="3"/>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5E8CCD-FBB3-44CE-B206-98BF39E3FDA0}" name="defect_rate_per_supplier2" displayName="defect_rate_per_supplier2" ref="A1:C6" tableType="queryTable" totalsRowShown="0">
  <autoFilter ref="A1:C6" xr:uid="{E75E8CCD-FBB3-44CE-B206-98BF39E3FDA0}"/>
  <tableColumns count="3">
    <tableColumn id="1" xr3:uid="{F9B150E0-F5C0-47EA-B362-56AEFEE4F7E0}" uniqueName="1" name="supplier_name" queryTableFieldId="1" dataDxfId="8"/>
    <tableColumn id="2" xr3:uid="{12D01AE0-82E9-4536-9FCB-E7E0422A3D05}" uniqueName="2" name="avg_defect_rate" queryTableFieldId="2"/>
    <tableColumn id="3" xr3:uid="{965412D8-C4D6-42D8-BE34-4121A1EA5370}" uniqueName="3" name="sku_count" queryTableFieldId="3"/>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3C5253-EC69-431B-BAB3-8C6F0F949D46}" name="cost_vs_profit_analysis" displayName="cost_vs_profit_analysis" ref="A1:C32" tableType="queryTable" totalsRowShown="0">
  <autoFilter ref="A1:C32" xr:uid="{B73C5253-EC69-431B-BAB3-8C6F0F949D46}"/>
  <sortState xmlns:xlrd2="http://schemas.microsoft.com/office/spreadsheetml/2017/richdata2" ref="A2:C32">
    <sortCondition ref="A1:A32"/>
  </sortState>
  <tableColumns count="3">
    <tableColumn id="1" xr3:uid="{1F49F0E2-C2DD-41B0-9B9D-EA614D23C17E}" uniqueName="1" name="sku" queryTableFieldId="1" dataDxfId="7"/>
    <tableColumn id="2" xr3:uid="{BE60A060-4AF4-4DD9-8730-101B4435302A}" uniqueName="2" name="cost" queryTableFieldId="2"/>
    <tableColumn id="3" xr3:uid="{940DA4EB-2850-45AE-B71F-919C5BC03B9D}" uniqueName="3" name="profit" queryTableFieldId="3"/>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4BB1C5-6D0D-458D-B05F-DF2A32FFC13A}" name="risk_tolerance" displayName="risk_tolerance" ref="A1:F101" tableType="queryTable" totalsRowShown="0">
  <autoFilter ref="A1:F101" xr:uid="{D24BB1C5-6D0D-458D-B05F-DF2A32FFC13A}"/>
  <tableColumns count="6">
    <tableColumn id="1" xr3:uid="{B5096C91-CF54-4953-BC40-2FF7805BE04E}" uniqueName="1" name="sku" queryTableFieldId="1" dataDxfId="6"/>
    <tableColumn id="2" xr3:uid="{2845093B-67F7-4D72-9734-2FEE9C2D74F8}" uniqueName="2" name="total_profit" queryTableFieldId="2"/>
    <tableColumn id="3" xr3:uid="{C760C2A9-32AD-4BCF-B96A-4D492E4803F7}" uniqueName="3" name="risk_score" queryTableFieldId="3"/>
    <tableColumn id="4" xr3:uid="{9A1F4CA3-609F-4300-A193-34ABFED2241A}" uniqueName="4" name="risk_tolerance" queryTableFieldId="4" dataDxfId="5"/>
    <tableColumn id="5" xr3:uid="{EAC075E8-0944-43D7-8415-5874A374E4DE}" uniqueName="5" name="quadrant" queryTableFieldId="5" dataDxfId="4">
      <calculatedColumnFormula array="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calculatedColumnFormula>
    </tableColumn>
    <tableColumn id="6" xr3:uid="{D7929D31-638F-4FCD-B166-2DE53ECD03FA}" uniqueName="6" name="action" queryTableFieldId="6" dataDxfId="3">
      <calculatedColumnFormula>_xlfn.XLOOKUP(risk_tolerance[[#This Row],[quadrant]],$O$1:$O$5,$P$1:$P$5,"N/A",0)</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486FEB-8EA2-4DB4-AF29-F1A0522D4384}" name="profit_vs_risk_scenario5" displayName="profit_vs_risk_scenario5" ref="A1:G101" tableType="queryTable" totalsRowShown="0">
  <autoFilter ref="A1:G101" xr:uid="{10486FEB-8EA2-4DB4-AF29-F1A0522D4384}"/>
  <tableColumns count="7">
    <tableColumn id="1" xr3:uid="{C0D42868-D917-4296-9709-27F57590A5FB}" uniqueName="1" name="sku" queryTableFieldId="1" dataDxfId="2"/>
    <tableColumn id="2" xr3:uid="{EA61A416-54B6-48E9-AD6B-1A1A6BD97D7F}" uniqueName="2" name="profit" queryTableFieldId="2"/>
    <tableColumn id="3" xr3:uid="{9C566590-E9B9-4A8B-B7AC-3885C88B41C9}" uniqueName="3" name="risk_score" queryTableFieldId="3"/>
    <tableColumn id="4" xr3:uid="{97EE77C7-2E14-460C-A066-446E623C642F}" uniqueName="4" name="Category" queryTableFieldId="4" dataDxfId="1"/>
    <tableColumn id="5" xr3:uid="{DCC7CCDA-301B-4E60-A696-090DD0B62EAF}" uniqueName="5" name="priority_score" queryTableFieldId="5"/>
    <tableColumn id="6" xr3:uid="{220AB228-49B8-4502-B663-70561510D2EA}" uniqueName="6" name="Rank_score" queryTableFieldId="6"/>
    <tableColumn id="9" xr3:uid="{C15F92DB-A335-4EF2-A49D-66D6C19EAE6C}" uniqueName="9" name="Action" queryTableFieldId="7" dataDxfId="0">
      <calculatedColumnFormula>_xlfn.XLOOKUP(profit_vs_risk_scenario5[[#This Row],[sku]],'risk_tolerance'!A:A,'risk_tolerance'!F:F,"N/A",0)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ustom 1">
      <a:dk1>
        <a:srgbClr val="24343B"/>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3625-1BCB-46F2-A04D-E782772298B7}">
  <dimension ref="A1:AE64"/>
  <sheetViews>
    <sheetView tabSelected="1" topLeftCell="G1" zoomScale="115" zoomScaleNormal="115" workbookViewId="0">
      <selection activeCell="Y55" sqref="Y55"/>
    </sheetView>
  </sheetViews>
  <sheetFormatPr defaultRowHeight="14.4" x14ac:dyDescent="0.3"/>
  <cols>
    <col min="16" max="16" width="3.5546875" customWidth="1"/>
    <col min="17" max="17" width="14.109375" bestFit="1" customWidth="1"/>
    <col min="18" max="18" width="12.21875" customWidth="1"/>
    <col min="19" max="19" width="7.109375" bestFit="1" customWidth="1"/>
    <col min="20" max="20" width="12.109375" bestFit="1" customWidth="1"/>
    <col min="21" max="21" width="10.21875" bestFit="1" customWidth="1"/>
    <col min="22" max="22" width="1.21875" customWidth="1"/>
    <col min="24" max="24" width="19.33203125" customWidth="1"/>
  </cols>
  <sheetData>
    <row r="1" spans="1:24" ht="19.8" customHeight="1" x14ac:dyDescent="0.3">
      <c r="A1" s="35" t="s">
        <v>148</v>
      </c>
      <c r="B1" s="36"/>
      <c r="C1" s="36"/>
      <c r="D1" s="36"/>
      <c r="E1" s="36"/>
      <c r="F1" s="36"/>
      <c r="G1" s="36"/>
      <c r="H1" s="36"/>
      <c r="I1" s="36"/>
      <c r="J1" s="36"/>
      <c r="K1" s="36"/>
      <c r="L1" s="36"/>
      <c r="M1" s="36"/>
      <c r="N1" s="36"/>
      <c r="O1" s="36"/>
      <c r="P1" s="36"/>
      <c r="Q1" s="36"/>
      <c r="R1" s="36"/>
      <c r="S1" s="36"/>
      <c r="T1" s="36"/>
      <c r="U1" s="36"/>
      <c r="V1" s="37"/>
      <c r="W1" s="63" t="s">
        <v>142</v>
      </c>
      <c r="X1" s="64"/>
    </row>
    <row r="2" spans="1:24" x14ac:dyDescent="0.3">
      <c r="A2" s="31"/>
      <c r="B2" s="21"/>
      <c r="C2" s="21"/>
      <c r="D2" s="21"/>
      <c r="E2" s="21"/>
      <c r="F2" s="21"/>
      <c r="G2" s="21"/>
      <c r="H2" s="21"/>
      <c r="I2" s="21"/>
      <c r="J2" s="21"/>
      <c r="K2" s="21"/>
      <c r="L2" s="21"/>
      <c r="M2" s="21"/>
      <c r="N2" s="21"/>
      <c r="O2" s="21"/>
      <c r="P2" s="21"/>
      <c r="Q2" s="21"/>
      <c r="R2" s="21"/>
      <c r="S2" s="21"/>
      <c r="T2" s="21"/>
      <c r="U2" s="21"/>
      <c r="V2" s="32"/>
      <c r="W2" s="21"/>
      <c r="X2" s="32"/>
    </row>
    <row r="3" spans="1:24" x14ac:dyDescent="0.3">
      <c r="A3" s="31"/>
      <c r="B3" s="21"/>
      <c r="C3" s="21"/>
      <c r="D3" s="21"/>
      <c r="E3" s="21"/>
      <c r="F3" s="21"/>
      <c r="G3" s="21"/>
      <c r="H3" s="21"/>
      <c r="I3" s="21"/>
      <c r="J3" s="21"/>
      <c r="K3" s="21"/>
      <c r="L3" s="21"/>
      <c r="M3" s="21"/>
      <c r="N3" s="21"/>
      <c r="O3" s="21"/>
      <c r="P3" s="21"/>
      <c r="Q3" s="21"/>
      <c r="R3" s="21"/>
      <c r="S3" s="21"/>
      <c r="T3" s="21"/>
      <c r="U3" s="21"/>
      <c r="V3" s="32"/>
      <c r="W3" s="21"/>
      <c r="X3" s="32"/>
    </row>
    <row r="4" spans="1:24" ht="12.6" customHeight="1" x14ac:dyDescent="0.3">
      <c r="A4" s="31"/>
      <c r="B4" s="21"/>
      <c r="C4" s="21"/>
      <c r="D4" s="21"/>
      <c r="E4" s="21"/>
      <c r="F4" s="21"/>
      <c r="G4" s="21"/>
      <c r="H4" s="21"/>
      <c r="I4" s="21"/>
      <c r="J4" s="21"/>
      <c r="K4" s="21"/>
      <c r="L4" s="21"/>
      <c r="M4" s="21"/>
      <c r="N4" s="21"/>
      <c r="O4" s="21"/>
      <c r="P4" s="21"/>
      <c r="Q4" s="21"/>
      <c r="R4" s="21"/>
      <c r="S4" s="21"/>
      <c r="T4" s="21"/>
      <c r="U4" s="21"/>
      <c r="V4" s="32"/>
      <c r="W4" s="21"/>
      <c r="X4" s="32"/>
    </row>
    <row r="5" spans="1:24" x14ac:dyDescent="0.3">
      <c r="A5" s="31"/>
      <c r="B5" s="21"/>
      <c r="C5" s="21"/>
      <c r="D5" s="21"/>
      <c r="E5" s="21"/>
      <c r="F5" s="21"/>
      <c r="G5" s="21"/>
      <c r="H5" s="21"/>
      <c r="I5" s="21"/>
      <c r="J5" s="21"/>
      <c r="K5" s="21"/>
      <c r="L5" s="21"/>
      <c r="M5" s="21"/>
      <c r="N5" s="21"/>
      <c r="O5" s="21"/>
      <c r="P5" s="21"/>
      <c r="Q5" s="49" t="s">
        <v>149</v>
      </c>
      <c r="R5" s="49" t="s">
        <v>109</v>
      </c>
      <c r="S5" s="49" t="s">
        <v>122</v>
      </c>
      <c r="T5" s="61" t="s">
        <v>164</v>
      </c>
      <c r="U5" s="62" t="s">
        <v>163</v>
      </c>
      <c r="V5" s="32"/>
      <c r="W5" s="21"/>
      <c r="X5" s="32"/>
    </row>
    <row r="6" spans="1:24" x14ac:dyDescent="0.3">
      <c r="A6" s="31"/>
      <c r="B6" s="21"/>
      <c r="C6" s="21"/>
      <c r="D6" s="21"/>
      <c r="E6" s="21"/>
      <c r="F6" s="21"/>
      <c r="G6" s="21"/>
      <c r="H6" s="21"/>
      <c r="I6" s="21"/>
      <c r="J6" s="21"/>
      <c r="K6" s="21"/>
      <c r="L6" s="21"/>
      <c r="M6" s="21"/>
      <c r="N6" s="21"/>
      <c r="O6" s="21"/>
      <c r="P6" s="21"/>
      <c r="Q6" s="50" t="s">
        <v>133</v>
      </c>
      <c r="R6" s="56" t="s">
        <v>32</v>
      </c>
      <c r="S6" s="56" t="s">
        <v>61</v>
      </c>
      <c r="T6" s="44">
        <v>75049.740000000005</v>
      </c>
      <c r="U6" s="45">
        <v>193.81</v>
      </c>
      <c r="V6" s="32"/>
      <c r="W6" s="21"/>
      <c r="X6" s="32"/>
    </row>
    <row r="7" spans="1:24" x14ac:dyDescent="0.3">
      <c r="A7" s="31"/>
      <c r="B7" s="21"/>
      <c r="C7" s="21"/>
      <c r="D7" s="21"/>
      <c r="E7" s="21"/>
      <c r="F7" s="21"/>
      <c r="G7" s="21"/>
      <c r="H7" s="21"/>
      <c r="I7" s="21"/>
      <c r="J7" s="21"/>
      <c r="K7" s="21"/>
      <c r="L7" s="21"/>
      <c r="M7" s="21"/>
      <c r="N7" s="21"/>
      <c r="O7" s="21"/>
      <c r="P7" s="21"/>
      <c r="Q7" s="51"/>
      <c r="R7" s="57"/>
      <c r="S7" s="57" t="s">
        <v>72</v>
      </c>
      <c r="T7" s="46">
        <v>55943.06</v>
      </c>
      <c r="U7" s="41">
        <v>195.6</v>
      </c>
      <c r="V7" s="32"/>
      <c r="W7" s="21"/>
      <c r="X7" s="32"/>
    </row>
    <row r="8" spans="1:24" x14ac:dyDescent="0.3">
      <c r="A8" s="31"/>
      <c r="B8" s="21"/>
      <c r="C8" s="21"/>
      <c r="D8" s="21"/>
      <c r="E8" s="21"/>
      <c r="F8" s="21"/>
      <c r="G8" s="21"/>
      <c r="H8" s="21"/>
      <c r="I8" s="21"/>
      <c r="J8" s="21"/>
      <c r="K8" s="21"/>
      <c r="L8" s="21"/>
      <c r="M8" s="21"/>
      <c r="N8" s="21"/>
      <c r="O8" s="21"/>
      <c r="P8" s="21"/>
      <c r="Q8" s="51"/>
      <c r="R8" s="57"/>
      <c r="S8" s="57" t="s">
        <v>92</v>
      </c>
      <c r="T8" s="46">
        <v>56338.21</v>
      </c>
      <c r="U8" s="41">
        <v>99.35</v>
      </c>
      <c r="V8" s="32"/>
      <c r="W8" s="21"/>
      <c r="X8" s="32"/>
    </row>
    <row r="9" spans="1:24" x14ac:dyDescent="0.3">
      <c r="A9" s="31"/>
      <c r="B9" s="21"/>
      <c r="C9" s="21"/>
      <c r="D9" s="21"/>
      <c r="E9" s="21"/>
      <c r="F9" s="21"/>
      <c r="G9" s="21"/>
      <c r="H9" s="21"/>
      <c r="I9" s="21"/>
      <c r="J9" s="21"/>
      <c r="K9" s="21"/>
      <c r="L9" s="21"/>
      <c r="M9" s="21"/>
      <c r="N9" s="21"/>
      <c r="O9" s="21"/>
      <c r="P9" s="21"/>
      <c r="Q9" s="51"/>
      <c r="R9" s="57"/>
      <c r="S9" s="57" t="s">
        <v>94</v>
      </c>
      <c r="T9" s="46">
        <v>55024.31</v>
      </c>
      <c r="U9" s="41">
        <v>290.61</v>
      </c>
      <c r="V9" s="32"/>
      <c r="W9" s="21"/>
      <c r="X9" s="32"/>
    </row>
    <row r="10" spans="1:24" x14ac:dyDescent="0.3">
      <c r="A10" s="31"/>
      <c r="B10" s="21"/>
      <c r="C10" s="21"/>
      <c r="D10" s="21"/>
      <c r="E10" s="21"/>
      <c r="F10" s="21"/>
      <c r="G10" s="21"/>
      <c r="H10" s="21"/>
      <c r="I10" s="21"/>
      <c r="J10" s="21"/>
      <c r="K10" s="21"/>
      <c r="L10" s="21"/>
      <c r="M10" s="21"/>
      <c r="N10" s="21"/>
      <c r="O10" s="21"/>
      <c r="P10" s="21"/>
      <c r="Q10" s="51"/>
      <c r="R10" s="58"/>
      <c r="S10" s="58" t="s">
        <v>6</v>
      </c>
      <c r="T10" s="46">
        <v>62680.29</v>
      </c>
      <c r="U10" s="41">
        <v>219.14</v>
      </c>
      <c r="V10" s="32"/>
      <c r="W10" s="21"/>
      <c r="X10" s="32"/>
    </row>
    <row r="11" spans="1:24" x14ac:dyDescent="0.3">
      <c r="A11" s="31"/>
      <c r="B11" s="21"/>
      <c r="C11" s="21"/>
      <c r="D11" s="21"/>
      <c r="E11" s="21"/>
      <c r="F11" s="21"/>
      <c r="G11" s="21"/>
      <c r="H11" s="21"/>
      <c r="I11" s="21"/>
      <c r="J11" s="21"/>
      <c r="K11" s="21"/>
      <c r="L11" s="21"/>
      <c r="M11" s="21"/>
      <c r="N11" s="21"/>
      <c r="O11" s="21"/>
      <c r="P11" s="21"/>
      <c r="Q11" s="51"/>
      <c r="R11" s="59" t="s">
        <v>154</v>
      </c>
      <c r="S11" s="60"/>
      <c r="T11" s="46">
        <v>305035.61</v>
      </c>
      <c r="U11" s="41">
        <v>998.51</v>
      </c>
      <c r="V11" s="32"/>
      <c r="W11" s="21"/>
      <c r="X11" s="32"/>
    </row>
    <row r="12" spans="1:24" x14ac:dyDescent="0.3">
      <c r="A12" s="31"/>
      <c r="B12" s="21"/>
      <c r="C12" s="21"/>
      <c r="D12" s="21"/>
      <c r="E12" s="21"/>
      <c r="F12" s="21"/>
      <c r="G12" s="21"/>
      <c r="H12" s="21"/>
      <c r="I12" s="21"/>
      <c r="J12" s="21"/>
      <c r="K12" s="21"/>
      <c r="L12" s="21"/>
      <c r="M12" s="21"/>
      <c r="N12" s="21"/>
      <c r="O12" s="21"/>
      <c r="P12" s="21"/>
      <c r="Q12" s="51"/>
      <c r="R12" s="56" t="s">
        <v>31</v>
      </c>
      <c r="S12" s="56" t="s">
        <v>55</v>
      </c>
      <c r="T12" s="46">
        <v>61826.67</v>
      </c>
      <c r="U12" s="41">
        <v>91.46</v>
      </c>
      <c r="V12" s="32"/>
      <c r="W12" s="21"/>
      <c r="X12" s="32"/>
    </row>
    <row r="13" spans="1:24" x14ac:dyDescent="0.3">
      <c r="A13" s="31"/>
      <c r="B13" s="21"/>
      <c r="C13" s="21"/>
      <c r="D13" s="21"/>
      <c r="E13" s="21"/>
      <c r="F13" s="21"/>
      <c r="G13" s="21"/>
      <c r="H13" s="21"/>
      <c r="I13" s="21"/>
      <c r="J13" s="21"/>
      <c r="K13" s="21"/>
      <c r="L13" s="21"/>
      <c r="M13" s="21"/>
      <c r="N13" s="21"/>
      <c r="O13" s="21"/>
      <c r="P13" s="21"/>
      <c r="Q13" s="51"/>
      <c r="R13" s="57"/>
      <c r="S13" s="57" t="s">
        <v>71</v>
      </c>
      <c r="T13" s="46">
        <v>80368.3</v>
      </c>
      <c r="U13" s="41">
        <v>46.69</v>
      </c>
      <c r="V13" s="32"/>
      <c r="W13" s="21"/>
      <c r="X13" s="32"/>
    </row>
    <row r="14" spans="1:24" x14ac:dyDescent="0.3">
      <c r="A14" s="31"/>
      <c r="B14" s="21"/>
      <c r="C14" s="21"/>
      <c r="D14" s="21"/>
      <c r="E14" s="21"/>
      <c r="F14" s="21"/>
      <c r="G14" s="21"/>
      <c r="H14" s="21"/>
      <c r="I14" s="21"/>
      <c r="J14" s="21"/>
      <c r="K14" s="21"/>
      <c r="L14" s="21"/>
      <c r="M14" s="21"/>
      <c r="N14" s="21"/>
      <c r="O14" s="21"/>
      <c r="P14" s="21"/>
      <c r="Q14" s="51"/>
      <c r="R14" s="57"/>
      <c r="S14" s="57" t="s">
        <v>73</v>
      </c>
      <c r="T14" s="46">
        <v>53548.05</v>
      </c>
      <c r="U14" s="41">
        <v>51.91</v>
      </c>
      <c r="V14" s="32"/>
      <c r="W14" s="21"/>
      <c r="X14" s="32"/>
    </row>
    <row r="15" spans="1:24" x14ac:dyDescent="0.3">
      <c r="A15" s="31"/>
      <c r="B15" s="21"/>
      <c r="C15" s="21"/>
      <c r="D15" s="21"/>
      <c r="E15" s="21"/>
      <c r="F15" s="21"/>
      <c r="G15" s="21"/>
      <c r="H15" s="21"/>
      <c r="I15" s="21"/>
      <c r="J15" s="21"/>
      <c r="K15" s="21"/>
      <c r="L15" s="21"/>
      <c r="M15" s="21"/>
      <c r="N15" s="21"/>
      <c r="O15" s="21"/>
      <c r="P15" s="21"/>
      <c r="Q15" s="51"/>
      <c r="R15" s="57"/>
      <c r="S15" s="57" t="s">
        <v>91</v>
      </c>
      <c r="T15" s="46">
        <v>79384.100000000006</v>
      </c>
      <c r="U15" s="41">
        <v>68.39</v>
      </c>
      <c r="V15" s="32"/>
      <c r="W15" s="21"/>
      <c r="X15" s="32"/>
    </row>
    <row r="16" spans="1:24" x14ac:dyDescent="0.3">
      <c r="A16" s="31"/>
      <c r="B16" s="21"/>
      <c r="C16" s="21"/>
      <c r="D16" s="21"/>
      <c r="E16" s="21"/>
      <c r="F16" s="21"/>
      <c r="G16" s="21"/>
      <c r="H16" s="21"/>
      <c r="I16" s="21"/>
      <c r="J16" s="21"/>
      <c r="K16" s="21"/>
      <c r="L16" s="21"/>
      <c r="M16" s="21"/>
      <c r="N16" s="21"/>
      <c r="O16" s="21"/>
      <c r="P16" s="21"/>
      <c r="Q16" s="51"/>
      <c r="R16" s="58"/>
      <c r="S16" s="58" t="s">
        <v>103</v>
      </c>
      <c r="T16" s="46">
        <v>52283.92</v>
      </c>
      <c r="U16" s="41">
        <v>49.65</v>
      </c>
      <c r="V16" s="32"/>
      <c r="W16" s="21"/>
      <c r="X16" s="32"/>
    </row>
    <row r="17" spans="1:24" x14ac:dyDescent="0.3">
      <c r="A17" s="31"/>
      <c r="B17" s="21"/>
      <c r="C17" s="21"/>
      <c r="D17" s="21"/>
      <c r="E17" s="21"/>
      <c r="F17" s="21"/>
      <c r="G17" s="21"/>
      <c r="H17" s="21"/>
      <c r="I17" s="21"/>
      <c r="J17" s="21"/>
      <c r="K17" s="21"/>
      <c r="L17" s="21"/>
      <c r="M17" s="21"/>
      <c r="N17" s="21"/>
      <c r="O17" s="21"/>
      <c r="P17" s="21"/>
      <c r="Q17" s="52"/>
      <c r="R17" s="53" t="s">
        <v>155</v>
      </c>
      <c r="S17" s="55"/>
      <c r="T17" s="47">
        <v>327411.03999999998</v>
      </c>
      <c r="U17" s="42">
        <v>308.09999999999997</v>
      </c>
      <c r="V17" s="32"/>
      <c r="W17" s="21"/>
      <c r="X17" s="32"/>
    </row>
    <row r="18" spans="1:24" x14ac:dyDescent="0.3">
      <c r="A18" s="31"/>
      <c r="B18" s="21"/>
      <c r="C18" s="21"/>
      <c r="D18" s="21"/>
      <c r="E18" s="21"/>
      <c r="F18" s="21"/>
      <c r="G18" s="21"/>
      <c r="H18" s="21"/>
      <c r="I18" s="21"/>
      <c r="J18" s="21"/>
      <c r="K18" s="21"/>
      <c r="L18" s="21"/>
      <c r="M18" s="21"/>
      <c r="N18" s="21"/>
      <c r="O18" s="21"/>
      <c r="P18" s="21"/>
      <c r="Q18" s="53" t="s">
        <v>151</v>
      </c>
      <c r="R18" s="54"/>
      <c r="S18" s="55"/>
      <c r="T18" s="47">
        <v>632446.65</v>
      </c>
      <c r="U18" s="42">
        <v>1306.6100000000004</v>
      </c>
      <c r="V18" s="32"/>
      <c r="W18" s="21"/>
      <c r="X18" s="32"/>
    </row>
    <row r="19" spans="1:24" x14ac:dyDescent="0.3">
      <c r="A19" s="31"/>
      <c r="B19" s="21"/>
      <c r="C19" s="21"/>
      <c r="D19" s="21"/>
      <c r="E19" s="21"/>
      <c r="F19" s="21"/>
      <c r="G19" s="21"/>
      <c r="H19" s="21"/>
      <c r="I19" s="21"/>
      <c r="J19" s="21"/>
      <c r="K19" s="21"/>
      <c r="L19" s="21"/>
      <c r="M19" s="21"/>
      <c r="N19" s="21"/>
      <c r="O19" s="21"/>
      <c r="P19" s="21"/>
      <c r="Q19" s="50" t="s">
        <v>132</v>
      </c>
      <c r="R19" s="56" t="s">
        <v>31</v>
      </c>
      <c r="S19" s="56" t="s">
        <v>30</v>
      </c>
      <c r="T19" s="46">
        <v>55936.78</v>
      </c>
      <c r="U19" s="41">
        <v>9.06</v>
      </c>
      <c r="V19" s="32"/>
      <c r="W19" s="21"/>
      <c r="X19" s="32"/>
    </row>
    <row r="20" spans="1:24" x14ac:dyDescent="0.3">
      <c r="A20" s="31"/>
      <c r="B20" s="21"/>
      <c r="C20" s="21"/>
      <c r="D20" s="21"/>
      <c r="E20" s="21"/>
      <c r="F20" s="21"/>
      <c r="G20" s="21"/>
      <c r="H20" s="21"/>
      <c r="I20" s="21"/>
      <c r="J20" s="21"/>
      <c r="K20" s="21"/>
      <c r="L20" s="21"/>
      <c r="M20" s="21"/>
      <c r="N20" s="21"/>
      <c r="O20" s="21"/>
      <c r="P20" s="21"/>
      <c r="Q20" s="51"/>
      <c r="R20" s="57"/>
      <c r="S20" s="57" t="s">
        <v>7</v>
      </c>
      <c r="T20" s="46">
        <v>86977.93</v>
      </c>
      <c r="U20" s="41">
        <v>1.1000000000000001</v>
      </c>
      <c r="V20" s="32"/>
      <c r="W20" s="21"/>
      <c r="X20" s="32"/>
    </row>
    <row r="21" spans="1:24" x14ac:dyDescent="0.3">
      <c r="A21" s="31"/>
      <c r="B21" s="21"/>
      <c r="C21" s="21"/>
      <c r="D21" s="21"/>
      <c r="E21" s="21"/>
      <c r="F21" s="21"/>
      <c r="G21" s="21"/>
      <c r="H21" s="21"/>
      <c r="I21" s="21"/>
      <c r="J21" s="21"/>
      <c r="K21" s="21"/>
      <c r="L21" s="21"/>
      <c r="M21" s="21"/>
      <c r="N21" s="21"/>
      <c r="O21" s="21"/>
      <c r="P21" s="21"/>
      <c r="Q21" s="51"/>
      <c r="R21" s="57"/>
      <c r="S21" s="57" t="s">
        <v>9</v>
      </c>
      <c r="T21" s="46">
        <v>55726.46</v>
      </c>
      <c r="U21" s="41">
        <v>5.94</v>
      </c>
      <c r="V21" s="32"/>
      <c r="W21" s="21"/>
      <c r="X21" s="32"/>
    </row>
    <row r="22" spans="1:24" x14ac:dyDescent="0.3">
      <c r="A22" s="31"/>
      <c r="B22" s="21"/>
      <c r="C22" s="21"/>
      <c r="D22" s="21"/>
      <c r="E22" s="21"/>
      <c r="F22" s="21"/>
      <c r="G22" s="21"/>
      <c r="H22" s="21"/>
      <c r="I22" s="21"/>
      <c r="J22" s="21"/>
      <c r="K22" s="21"/>
      <c r="L22" s="21"/>
      <c r="M22" s="21"/>
      <c r="N22" s="21"/>
      <c r="O22" s="21"/>
      <c r="P22" s="21"/>
      <c r="Q22" s="51"/>
      <c r="R22" s="57"/>
      <c r="S22" s="57" t="s">
        <v>67</v>
      </c>
      <c r="T22" s="46">
        <v>87069.35</v>
      </c>
      <c r="U22" s="41">
        <v>12.94</v>
      </c>
      <c r="V22" s="32"/>
      <c r="W22" s="21"/>
      <c r="X22" s="32"/>
    </row>
    <row r="23" spans="1:24" x14ac:dyDescent="0.3">
      <c r="A23" s="31"/>
      <c r="B23" s="21"/>
      <c r="C23" s="21"/>
      <c r="D23" s="21"/>
      <c r="E23" s="21"/>
      <c r="F23" s="21"/>
      <c r="G23" s="21"/>
      <c r="H23" s="21"/>
      <c r="I23" s="21"/>
      <c r="J23" s="21"/>
      <c r="K23" s="21"/>
      <c r="L23" s="21"/>
      <c r="M23" s="21"/>
      <c r="N23" s="21"/>
      <c r="O23" s="21"/>
      <c r="P23" s="21"/>
      <c r="Q23" s="51"/>
      <c r="R23" s="58"/>
      <c r="S23" s="58" t="s">
        <v>100</v>
      </c>
      <c r="T23" s="46">
        <v>56847.32</v>
      </c>
      <c r="U23" s="41">
        <v>21.28</v>
      </c>
      <c r="V23" s="32"/>
      <c r="W23" s="21"/>
      <c r="X23" s="32"/>
    </row>
    <row r="24" spans="1:24" x14ac:dyDescent="0.3">
      <c r="A24" s="31"/>
      <c r="B24" s="21"/>
      <c r="C24" s="21"/>
      <c r="D24" s="21"/>
      <c r="E24" s="21"/>
      <c r="F24" s="21"/>
      <c r="G24" s="21"/>
      <c r="H24" s="21"/>
      <c r="I24" s="21"/>
      <c r="J24" s="21"/>
      <c r="K24" s="21"/>
      <c r="L24" s="21"/>
      <c r="M24" s="21"/>
      <c r="N24" s="21"/>
      <c r="O24" s="21"/>
      <c r="P24" s="21"/>
      <c r="Q24" s="52"/>
      <c r="R24" s="53" t="s">
        <v>155</v>
      </c>
      <c r="S24" s="55"/>
      <c r="T24" s="47">
        <v>342557.84</v>
      </c>
      <c r="U24" s="42">
        <v>50.32</v>
      </c>
      <c r="V24" s="32"/>
      <c r="W24" s="21"/>
      <c r="X24" s="32"/>
    </row>
    <row r="25" spans="1:24" x14ac:dyDescent="0.3">
      <c r="A25" s="31"/>
      <c r="B25" s="21"/>
      <c r="C25" s="21"/>
      <c r="D25" s="21"/>
      <c r="E25" s="21"/>
      <c r="F25" s="21"/>
      <c r="G25" s="21"/>
      <c r="H25" s="21"/>
      <c r="I25" s="21"/>
      <c r="J25" s="21"/>
      <c r="K25" s="21"/>
      <c r="L25" s="21"/>
      <c r="M25" s="21"/>
      <c r="N25" s="21"/>
      <c r="O25" s="21"/>
      <c r="P25" s="21"/>
      <c r="Q25" s="53" t="s">
        <v>153</v>
      </c>
      <c r="R25" s="54"/>
      <c r="S25" s="55"/>
      <c r="T25" s="47">
        <v>342557.84</v>
      </c>
      <c r="U25" s="42">
        <v>50.32</v>
      </c>
      <c r="V25" s="32"/>
      <c r="W25" s="21"/>
      <c r="X25" s="32"/>
    </row>
    <row r="26" spans="1:24" x14ac:dyDescent="0.3">
      <c r="A26" s="31"/>
      <c r="B26" s="21"/>
      <c r="C26" s="21"/>
      <c r="D26" s="21"/>
      <c r="E26" s="21"/>
      <c r="F26" s="21"/>
      <c r="G26" s="21"/>
      <c r="H26" s="21"/>
      <c r="I26" s="21"/>
      <c r="J26" s="21"/>
      <c r="K26" s="21"/>
      <c r="L26" s="21"/>
      <c r="M26" s="21"/>
      <c r="N26" s="21"/>
      <c r="O26" s="21"/>
      <c r="P26" s="21"/>
      <c r="Q26" s="50" t="s">
        <v>137</v>
      </c>
      <c r="R26" s="56" t="s">
        <v>32</v>
      </c>
      <c r="S26" s="56" t="s">
        <v>3</v>
      </c>
      <c r="T26" s="46">
        <v>10881.5</v>
      </c>
      <c r="U26" s="41">
        <v>266.97000000000003</v>
      </c>
      <c r="V26" s="32"/>
      <c r="W26" s="21"/>
      <c r="X26" s="32"/>
    </row>
    <row r="27" spans="1:24" x14ac:dyDescent="0.3">
      <c r="A27" s="31"/>
      <c r="B27" s="21"/>
      <c r="C27" s="21"/>
      <c r="D27" s="21"/>
      <c r="E27" s="21"/>
      <c r="F27" s="21"/>
      <c r="G27" s="21"/>
      <c r="H27" s="21"/>
      <c r="I27" s="21"/>
      <c r="J27" s="21"/>
      <c r="K27" s="21"/>
      <c r="L27" s="21"/>
      <c r="M27" s="21"/>
      <c r="N27" s="21"/>
      <c r="O27" s="21"/>
      <c r="P27" s="21"/>
      <c r="Q27" s="51"/>
      <c r="R27" s="57"/>
      <c r="S27" s="57" t="s">
        <v>44</v>
      </c>
      <c r="T27" s="46">
        <v>9473.0499999999993</v>
      </c>
      <c r="U27" s="41">
        <v>123.98</v>
      </c>
      <c r="V27" s="32"/>
      <c r="W27" s="21"/>
      <c r="X27" s="32"/>
    </row>
    <row r="28" spans="1:24" x14ac:dyDescent="0.3">
      <c r="A28" s="31"/>
      <c r="B28" s="21"/>
      <c r="C28" s="21"/>
      <c r="D28" s="21"/>
      <c r="E28" s="21"/>
      <c r="F28" s="21"/>
      <c r="G28" s="21"/>
      <c r="H28" s="21"/>
      <c r="I28" s="21"/>
      <c r="J28" s="21"/>
      <c r="K28" s="21"/>
      <c r="L28" s="21"/>
      <c r="M28" s="21"/>
      <c r="N28" s="21"/>
      <c r="O28" s="21"/>
      <c r="P28" s="21"/>
      <c r="Q28" s="51"/>
      <c r="R28" s="57"/>
      <c r="S28" s="57" t="s">
        <v>12</v>
      </c>
      <c r="T28" s="46">
        <v>9402.2800000000007</v>
      </c>
      <c r="U28" s="41">
        <v>197.89</v>
      </c>
      <c r="V28" s="32"/>
      <c r="W28" s="21"/>
      <c r="X28" s="32"/>
    </row>
    <row r="29" spans="1:24" x14ac:dyDescent="0.3">
      <c r="A29" s="31"/>
      <c r="B29" s="21"/>
      <c r="C29" s="21"/>
      <c r="D29" s="21"/>
      <c r="E29" s="21"/>
      <c r="F29" s="21"/>
      <c r="G29" s="21"/>
      <c r="H29" s="21"/>
      <c r="I29" s="21"/>
      <c r="J29" s="21"/>
      <c r="K29" s="21"/>
      <c r="L29" s="21"/>
      <c r="M29" s="21"/>
      <c r="N29" s="21"/>
      <c r="O29" s="21"/>
      <c r="P29" s="21"/>
      <c r="Q29" s="51"/>
      <c r="R29" s="57"/>
      <c r="S29" s="57" t="s">
        <v>19</v>
      </c>
      <c r="T29" s="46">
        <v>11105.81</v>
      </c>
      <c r="U29" s="41">
        <v>100.45</v>
      </c>
      <c r="V29" s="32"/>
      <c r="W29" s="21"/>
      <c r="X29" s="32"/>
    </row>
    <row r="30" spans="1:24" x14ac:dyDescent="0.3">
      <c r="A30" s="31"/>
      <c r="B30" s="21"/>
      <c r="C30" s="21"/>
      <c r="D30" s="21"/>
      <c r="E30" s="21"/>
      <c r="F30" s="21"/>
      <c r="G30" s="21"/>
      <c r="H30" s="21"/>
      <c r="I30" s="21"/>
      <c r="J30" s="21"/>
      <c r="K30" s="21"/>
      <c r="L30" s="21"/>
      <c r="M30" s="21"/>
      <c r="N30" s="21"/>
      <c r="O30" s="21"/>
      <c r="P30" s="21"/>
      <c r="Q30" s="51"/>
      <c r="R30" s="58"/>
      <c r="S30" s="58" t="s">
        <v>88</v>
      </c>
      <c r="T30" s="46">
        <v>9807.1299999999992</v>
      </c>
      <c r="U30" s="41">
        <v>111.65</v>
      </c>
      <c r="V30" s="32"/>
      <c r="W30" s="21"/>
      <c r="X30" s="32"/>
    </row>
    <row r="31" spans="1:24" x14ac:dyDescent="0.3">
      <c r="A31" s="31"/>
      <c r="B31" s="21"/>
      <c r="C31" s="21"/>
      <c r="D31" s="21"/>
      <c r="E31" s="21"/>
      <c r="F31" s="21"/>
      <c r="G31" s="21"/>
      <c r="H31" s="21"/>
      <c r="I31" s="21"/>
      <c r="J31" s="21"/>
      <c r="K31" s="21"/>
      <c r="L31" s="21"/>
      <c r="M31" s="21"/>
      <c r="N31" s="21"/>
      <c r="O31" s="21"/>
      <c r="P31" s="21"/>
      <c r="Q31" s="51"/>
      <c r="R31" s="59" t="s">
        <v>154</v>
      </c>
      <c r="S31" s="60"/>
      <c r="T31" s="46">
        <v>50669.77</v>
      </c>
      <c r="U31" s="41">
        <v>800.94</v>
      </c>
      <c r="V31" s="32"/>
      <c r="W31" s="21"/>
      <c r="X31" s="32"/>
    </row>
    <row r="32" spans="1:24" x14ac:dyDescent="0.3">
      <c r="A32" s="31"/>
      <c r="B32" s="21"/>
      <c r="C32" s="21"/>
      <c r="D32" s="21"/>
      <c r="E32" s="21"/>
      <c r="F32" s="21"/>
      <c r="G32" s="21"/>
      <c r="H32" s="21"/>
      <c r="I32" s="21"/>
      <c r="J32" s="21"/>
      <c r="K32" s="21"/>
      <c r="L32" s="21"/>
      <c r="M32" s="21"/>
      <c r="N32" s="21"/>
      <c r="O32" s="21"/>
      <c r="P32" s="21"/>
      <c r="Q32" s="51"/>
      <c r="R32" s="56" t="s">
        <v>31</v>
      </c>
      <c r="S32" s="56" t="s">
        <v>39</v>
      </c>
      <c r="T32" s="46">
        <v>3916.57</v>
      </c>
      <c r="U32" s="41">
        <v>65.239999999999995</v>
      </c>
      <c r="V32" s="32"/>
      <c r="W32" s="21"/>
      <c r="X32" s="32"/>
    </row>
    <row r="33" spans="1:31" x14ac:dyDescent="0.3">
      <c r="A33" s="31"/>
      <c r="B33" s="21"/>
      <c r="C33" s="21"/>
      <c r="D33" s="21"/>
      <c r="E33" s="21"/>
      <c r="F33" s="21"/>
      <c r="G33" s="21"/>
      <c r="H33" s="21"/>
      <c r="I33" s="21"/>
      <c r="J33" s="21"/>
      <c r="K33" s="21"/>
      <c r="L33" s="21"/>
      <c r="M33" s="21"/>
      <c r="N33" s="21"/>
      <c r="O33" s="21"/>
      <c r="P33" s="21"/>
      <c r="Q33" s="51"/>
      <c r="R33" s="57"/>
      <c r="S33" s="57" t="s">
        <v>13</v>
      </c>
      <c r="T33" s="46">
        <v>3351.87</v>
      </c>
      <c r="U33" s="41">
        <v>90.02</v>
      </c>
      <c r="V33" s="32"/>
      <c r="W33" s="21"/>
      <c r="X33" s="32"/>
    </row>
    <row r="34" spans="1:31" x14ac:dyDescent="0.3">
      <c r="A34" s="31"/>
      <c r="B34" s="21"/>
      <c r="C34" s="21"/>
      <c r="D34" s="21"/>
      <c r="E34" s="21"/>
      <c r="F34" s="21"/>
      <c r="G34" s="21"/>
      <c r="H34" s="21"/>
      <c r="I34" s="21"/>
      <c r="J34" s="21"/>
      <c r="K34" s="21"/>
      <c r="L34" s="21"/>
      <c r="M34" s="21"/>
      <c r="N34" s="21"/>
      <c r="O34" s="21"/>
      <c r="P34" s="21"/>
      <c r="Q34" s="51"/>
      <c r="R34" s="57"/>
      <c r="S34" s="57" t="s">
        <v>35</v>
      </c>
      <c r="T34" s="46">
        <v>4089.63</v>
      </c>
      <c r="U34" s="41">
        <v>50.33</v>
      </c>
      <c r="V34" s="32"/>
      <c r="W34" s="21"/>
      <c r="X34" s="32"/>
    </row>
    <row r="35" spans="1:31" x14ac:dyDescent="0.3">
      <c r="A35" s="31"/>
      <c r="B35" s="21"/>
      <c r="C35" s="21"/>
      <c r="D35" s="21"/>
      <c r="E35" s="21"/>
      <c r="F35" s="21"/>
      <c r="G35" s="21"/>
      <c r="H35" s="21"/>
      <c r="I35" s="21"/>
      <c r="J35" s="21"/>
      <c r="K35" s="21"/>
      <c r="L35" s="21"/>
      <c r="M35" s="21"/>
      <c r="N35" s="21"/>
      <c r="O35" s="21"/>
      <c r="P35" s="21"/>
      <c r="Q35" s="51"/>
      <c r="R35" s="57"/>
      <c r="S35" s="57" t="s">
        <v>37</v>
      </c>
      <c r="T35" s="46">
        <v>10292.81</v>
      </c>
      <c r="U35" s="41">
        <v>81.3</v>
      </c>
      <c r="V35" s="32"/>
      <c r="W35" s="21"/>
      <c r="X35" s="32"/>
    </row>
    <row r="36" spans="1:31" x14ac:dyDescent="0.3">
      <c r="A36" s="31"/>
      <c r="B36" s="21"/>
      <c r="C36" s="21"/>
      <c r="D36" s="21"/>
      <c r="E36" s="21"/>
      <c r="F36" s="21"/>
      <c r="G36" s="21"/>
      <c r="H36" s="21"/>
      <c r="I36" s="21"/>
      <c r="J36" s="21"/>
      <c r="K36" s="21"/>
      <c r="L36" s="21"/>
      <c r="M36" s="21"/>
      <c r="N36" s="21"/>
      <c r="O36" s="21"/>
      <c r="P36" s="21"/>
      <c r="Q36" s="51"/>
      <c r="R36" s="58"/>
      <c r="S36" s="58" t="s">
        <v>95</v>
      </c>
      <c r="T36" s="46">
        <v>4383.53</v>
      </c>
      <c r="U36" s="41">
        <v>49.24</v>
      </c>
      <c r="V36" s="32"/>
      <c r="W36" s="21"/>
      <c r="X36" s="32"/>
    </row>
    <row r="37" spans="1:31" x14ac:dyDescent="0.3">
      <c r="A37" s="31"/>
      <c r="B37" s="21"/>
      <c r="C37" s="21"/>
      <c r="D37" s="21"/>
      <c r="E37" s="21"/>
      <c r="F37" s="21"/>
      <c r="G37" s="21"/>
      <c r="H37" s="21"/>
      <c r="I37" s="21"/>
      <c r="J37" s="21"/>
      <c r="K37" s="21"/>
      <c r="L37" s="21"/>
      <c r="M37" s="21"/>
      <c r="N37" s="21"/>
      <c r="O37" s="21"/>
      <c r="P37" s="21"/>
      <c r="Q37" s="52"/>
      <c r="R37" s="53" t="s">
        <v>155</v>
      </c>
      <c r="S37" s="55"/>
      <c r="T37" s="47">
        <v>26034.409999999996</v>
      </c>
      <c r="U37" s="42">
        <v>336.13</v>
      </c>
      <c r="V37" s="32"/>
      <c r="W37" s="21"/>
      <c r="X37" s="32"/>
    </row>
    <row r="38" spans="1:31" x14ac:dyDescent="0.3">
      <c r="A38" s="31"/>
      <c r="B38" s="21"/>
      <c r="C38" s="21"/>
      <c r="D38" s="21"/>
      <c r="E38" s="21"/>
      <c r="F38" s="21"/>
      <c r="G38" s="21"/>
      <c r="H38" s="21"/>
      <c r="I38" s="21"/>
      <c r="J38" s="21"/>
      <c r="K38" s="21"/>
      <c r="L38" s="21"/>
      <c r="M38" s="21"/>
      <c r="N38" s="21"/>
      <c r="O38" s="21"/>
      <c r="P38" s="21"/>
      <c r="Q38" s="53" t="s">
        <v>150</v>
      </c>
      <c r="R38" s="54"/>
      <c r="S38" s="55"/>
      <c r="T38" s="47">
        <v>76704.179999999993</v>
      </c>
      <c r="U38" s="42">
        <v>1137.0700000000002</v>
      </c>
      <c r="V38" s="32"/>
      <c r="W38" s="21"/>
      <c r="X38" s="32"/>
    </row>
    <row r="39" spans="1:31" x14ac:dyDescent="0.3">
      <c r="A39" s="31"/>
      <c r="B39" s="21"/>
      <c r="C39" s="21"/>
      <c r="D39" s="21"/>
      <c r="E39" s="21"/>
      <c r="F39" s="21"/>
      <c r="G39" s="21"/>
      <c r="H39" s="21"/>
      <c r="I39" s="21"/>
      <c r="J39" s="21"/>
      <c r="K39" s="21"/>
      <c r="L39" s="21"/>
      <c r="M39" s="21"/>
      <c r="N39" s="21"/>
      <c r="O39" s="21"/>
      <c r="P39" s="21"/>
      <c r="Q39" s="50" t="s">
        <v>135</v>
      </c>
      <c r="R39" s="56" t="s">
        <v>31</v>
      </c>
      <c r="S39" s="56" t="s">
        <v>42</v>
      </c>
      <c r="T39" s="46">
        <v>10213.01</v>
      </c>
      <c r="U39" s="41">
        <v>3.37</v>
      </c>
      <c r="V39" s="32"/>
      <c r="W39" s="21"/>
      <c r="X39" s="32"/>
    </row>
    <row r="40" spans="1:31" x14ac:dyDescent="0.3">
      <c r="A40" s="31"/>
      <c r="B40" s="21"/>
      <c r="C40" s="21"/>
      <c r="D40" s="21"/>
      <c r="E40" s="21"/>
      <c r="F40" s="21"/>
      <c r="G40" s="21"/>
      <c r="H40" s="21"/>
      <c r="I40" s="21"/>
      <c r="J40" s="21"/>
      <c r="K40" s="21"/>
      <c r="L40" s="21"/>
      <c r="M40" s="21"/>
      <c r="N40" s="21"/>
      <c r="O40" s="21"/>
      <c r="P40" s="21"/>
      <c r="Q40" s="51"/>
      <c r="R40" s="57"/>
      <c r="S40" s="57" t="s">
        <v>63</v>
      </c>
      <c r="T40" s="46">
        <v>6992.51</v>
      </c>
      <c r="U40" s="41">
        <v>14.52</v>
      </c>
      <c r="V40" s="32"/>
      <c r="W40" s="21"/>
      <c r="X40" s="32"/>
    </row>
    <row r="41" spans="1:31" x14ac:dyDescent="0.3">
      <c r="A41" s="31"/>
      <c r="B41" s="21"/>
      <c r="C41" s="21"/>
      <c r="D41" s="21"/>
      <c r="E41" s="21"/>
      <c r="F41" s="21"/>
      <c r="G41" s="21"/>
      <c r="H41" s="21"/>
      <c r="I41" s="21"/>
      <c r="J41" s="21"/>
      <c r="K41" s="21"/>
      <c r="L41" s="21"/>
      <c r="M41" s="21"/>
      <c r="N41" s="21"/>
      <c r="O41" s="21"/>
      <c r="P41" s="21"/>
      <c r="Q41" s="51"/>
      <c r="R41" s="57"/>
      <c r="S41" s="57" t="s">
        <v>16</v>
      </c>
      <c r="T41" s="46">
        <v>7258.28</v>
      </c>
      <c r="U41" s="41">
        <v>40.9</v>
      </c>
      <c r="V41" s="32"/>
      <c r="W41" s="21"/>
      <c r="X41" s="32"/>
    </row>
    <row r="42" spans="1:31" x14ac:dyDescent="0.3">
      <c r="A42" s="31"/>
      <c r="B42" s="21"/>
      <c r="C42" s="21"/>
      <c r="D42" s="21"/>
      <c r="E42" s="21"/>
      <c r="F42" s="21"/>
      <c r="G42" s="21"/>
      <c r="H42" s="21"/>
      <c r="I42" s="21"/>
      <c r="J42" s="21"/>
      <c r="K42" s="21"/>
      <c r="L42" s="21"/>
      <c r="M42" s="21"/>
      <c r="N42" s="21"/>
      <c r="O42" s="21"/>
      <c r="P42" s="21"/>
      <c r="Q42" s="51"/>
      <c r="R42" s="57"/>
      <c r="S42" s="57" t="s">
        <v>82</v>
      </c>
      <c r="T42" s="46">
        <v>6084.58</v>
      </c>
      <c r="U42" s="41">
        <v>35.700000000000003</v>
      </c>
      <c r="V42" s="32"/>
      <c r="W42" s="21"/>
      <c r="X42" s="32"/>
    </row>
    <row r="43" spans="1:31" x14ac:dyDescent="0.3">
      <c r="A43" s="31"/>
      <c r="B43" s="21"/>
      <c r="C43" s="21"/>
      <c r="D43" s="21"/>
      <c r="E43" s="21"/>
      <c r="F43" s="21"/>
      <c r="G43" s="21"/>
      <c r="H43" s="21"/>
      <c r="I43" s="21"/>
      <c r="J43" s="21"/>
      <c r="K43" s="21"/>
      <c r="L43" s="21"/>
      <c r="M43" s="21"/>
      <c r="N43" s="21"/>
      <c r="O43" s="21"/>
      <c r="P43" s="21"/>
      <c r="Q43" s="51"/>
      <c r="R43" s="58"/>
      <c r="S43" s="58" t="s">
        <v>23</v>
      </c>
      <c r="T43" s="46">
        <v>11232.92</v>
      </c>
      <c r="U43" s="41">
        <v>5.14</v>
      </c>
      <c r="V43" s="32"/>
      <c r="W43" s="21"/>
      <c r="X43" s="32"/>
    </row>
    <row r="44" spans="1:31" x14ac:dyDescent="0.3">
      <c r="A44" s="31"/>
      <c r="B44" s="21"/>
      <c r="C44" s="21"/>
      <c r="D44" s="21"/>
      <c r="E44" s="21"/>
      <c r="F44" s="21"/>
      <c r="G44" s="21"/>
      <c r="H44" s="21"/>
      <c r="I44" s="21"/>
      <c r="J44" s="21"/>
      <c r="K44" s="21"/>
      <c r="L44" s="21"/>
      <c r="M44" s="21"/>
      <c r="N44" s="21"/>
      <c r="O44" s="21"/>
      <c r="P44" s="21"/>
      <c r="Q44" s="52"/>
      <c r="R44" s="53" t="s">
        <v>155</v>
      </c>
      <c r="S44" s="55"/>
      <c r="T44" s="47">
        <v>41781.299999999996</v>
      </c>
      <c r="U44" s="42">
        <v>99.63000000000001</v>
      </c>
      <c r="V44" s="32"/>
      <c r="W44" s="21"/>
      <c r="X44" s="32"/>
    </row>
    <row r="45" spans="1:31" x14ac:dyDescent="0.3">
      <c r="A45" s="31"/>
      <c r="B45" s="21"/>
      <c r="C45" s="21"/>
      <c r="D45" s="21"/>
      <c r="E45" s="21"/>
      <c r="F45" s="21"/>
      <c r="G45" s="21"/>
      <c r="H45" s="21"/>
      <c r="I45" s="21"/>
      <c r="J45" s="21"/>
      <c r="K45" s="21"/>
      <c r="L45" s="21"/>
      <c r="M45" s="21"/>
      <c r="N45" s="21"/>
      <c r="O45" s="21"/>
      <c r="P45" s="21"/>
      <c r="Q45" s="53" t="s">
        <v>152</v>
      </c>
      <c r="R45" s="54"/>
      <c r="S45" s="55"/>
      <c r="T45" s="48">
        <v>41781.299999999996</v>
      </c>
      <c r="U45" s="43">
        <v>99.63000000000001</v>
      </c>
      <c r="V45" s="32"/>
      <c r="W45" s="21"/>
      <c r="X45" s="32"/>
      <c r="AE45" t="s">
        <v>165</v>
      </c>
    </row>
    <row r="46" spans="1:31" x14ac:dyDescent="0.3">
      <c r="A46" s="31"/>
      <c r="B46" s="21"/>
      <c r="C46" s="21"/>
      <c r="D46" s="21"/>
      <c r="E46" s="21"/>
      <c r="F46" s="21"/>
      <c r="G46" s="21"/>
      <c r="H46" s="21"/>
      <c r="I46" s="21"/>
      <c r="J46" s="21"/>
      <c r="K46" s="21"/>
      <c r="L46" s="21"/>
      <c r="M46" s="21"/>
      <c r="N46" s="21"/>
      <c r="O46" s="21"/>
      <c r="P46" s="21"/>
      <c r="Q46" s="21"/>
      <c r="R46" s="21"/>
      <c r="S46" s="21"/>
      <c r="T46" s="21"/>
      <c r="U46" s="21"/>
      <c r="V46" s="32"/>
      <c r="W46" s="21"/>
      <c r="X46" s="32"/>
    </row>
    <row r="47" spans="1:31" x14ac:dyDescent="0.3">
      <c r="A47" s="31"/>
      <c r="B47" s="21"/>
      <c r="C47" s="21"/>
      <c r="D47" s="21"/>
      <c r="E47" s="21"/>
      <c r="F47" s="21"/>
      <c r="G47" s="21"/>
      <c r="H47" s="21"/>
      <c r="I47" s="21"/>
      <c r="J47" s="21"/>
      <c r="K47" s="21"/>
      <c r="L47" s="21"/>
      <c r="M47" s="21"/>
      <c r="N47" s="21"/>
      <c r="O47" s="21"/>
      <c r="P47" s="21"/>
      <c r="Q47" s="21"/>
      <c r="R47" s="21"/>
      <c r="S47" s="21"/>
      <c r="T47" s="21"/>
      <c r="U47" s="21"/>
      <c r="V47" s="32"/>
      <c r="W47" s="21"/>
      <c r="X47" s="32"/>
    </row>
    <row r="48" spans="1:31" x14ac:dyDescent="0.3">
      <c r="A48" s="31"/>
      <c r="B48" s="21"/>
      <c r="C48" s="21"/>
      <c r="D48" s="21"/>
      <c r="E48" s="21"/>
      <c r="F48" s="21"/>
      <c r="G48" s="21"/>
      <c r="H48" s="21"/>
      <c r="I48" s="21"/>
      <c r="J48" s="21"/>
      <c r="K48" s="21"/>
      <c r="L48" s="21"/>
      <c r="M48" s="21"/>
      <c r="N48" s="21"/>
      <c r="O48" s="21"/>
      <c r="P48" s="21"/>
      <c r="Q48" s="21"/>
      <c r="R48" s="21"/>
      <c r="S48" s="21"/>
      <c r="T48" s="21"/>
      <c r="U48" s="21"/>
      <c r="V48" s="32"/>
      <c r="W48" s="21"/>
      <c r="X48" s="32"/>
    </row>
    <row r="49" spans="1:24" x14ac:dyDescent="0.3">
      <c r="A49" s="31"/>
      <c r="B49" s="21"/>
      <c r="C49" s="21"/>
      <c r="D49" s="21"/>
      <c r="E49" s="21"/>
      <c r="F49" s="21"/>
      <c r="G49" s="21"/>
      <c r="H49" s="21"/>
      <c r="I49" s="21"/>
      <c r="J49" s="21"/>
      <c r="K49" s="21"/>
      <c r="L49" s="21"/>
      <c r="M49" s="21"/>
      <c r="N49" s="21"/>
      <c r="O49" s="21"/>
      <c r="P49" s="21"/>
      <c r="Q49" s="21"/>
      <c r="R49" s="21"/>
      <c r="S49" s="21"/>
      <c r="T49" s="21"/>
      <c r="U49" s="21"/>
      <c r="V49" s="32"/>
      <c r="W49" s="21"/>
      <c r="X49" s="32"/>
    </row>
    <row r="50" spans="1:24" x14ac:dyDescent="0.3">
      <c r="A50" s="31"/>
      <c r="B50" s="21"/>
      <c r="C50" s="21"/>
      <c r="D50" s="21"/>
      <c r="E50" s="21"/>
      <c r="F50" s="21"/>
      <c r="G50" s="21"/>
      <c r="H50" s="21"/>
      <c r="I50" s="21"/>
      <c r="J50" s="21"/>
      <c r="K50" s="21"/>
      <c r="L50" s="21"/>
      <c r="M50" s="21"/>
      <c r="N50" s="21"/>
      <c r="O50" s="21"/>
      <c r="P50" s="21"/>
      <c r="Q50" s="21"/>
      <c r="R50" s="21"/>
      <c r="S50" s="21"/>
      <c r="T50" s="21"/>
      <c r="U50" s="21"/>
      <c r="V50" s="32"/>
      <c r="W50" s="21"/>
      <c r="X50" s="32"/>
    </row>
    <row r="51" spans="1:24" x14ac:dyDescent="0.3">
      <c r="A51" s="31"/>
      <c r="B51" s="21"/>
      <c r="C51" s="21"/>
      <c r="D51" s="21"/>
      <c r="E51" s="21"/>
      <c r="F51" s="21"/>
      <c r="G51" s="21"/>
      <c r="H51" s="21"/>
      <c r="I51" s="21"/>
      <c r="J51" s="21"/>
      <c r="K51" s="21"/>
      <c r="L51" s="21"/>
      <c r="M51" s="21"/>
      <c r="N51" s="21"/>
      <c r="O51" s="21"/>
      <c r="P51" s="21"/>
      <c r="Q51" s="21"/>
      <c r="R51" s="21"/>
      <c r="S51" s="21"/>
      <c r="T51" s="21"/>
      <c r="U51" s="21"/>
      <c r="V51" s="32"/>
      <c r="W51" s="21"/>
      <c r="X51" s="32"/>
    </row>
    <row r="52" spans="1:24" x14ac:dyDescent="0.3">
      <c r="A52" s="31"/>
      <c r="B52" s="21"/>
      <c r="C52" s="21"/>
      <c r="D52" s="21"/>
      <c r="E52" s="21"/>
      <c r="F52" s="21"/>
      <c r="G52" s="21"/>
      <c r="H52" s="21"/>
      <c r="I52" s="21"/>
      <c r="J52" s="21"/>
      <c r="K52" s="21"/>
      <c r="L52" s="21"/>
      <c r="M52" s="21"/>
      <c r="N52" s="21"/>
      <c r="O52" s="21"/>
      <c r="P52" s="21"/>
      <c r="Q52" s="21"/>
      <c r="R52" s="21"/>
      <c r="S52" s="21"/>
      <c r="T52" s="21"/>
      <c r="U52" s="21"/>
      <c r="V52" s="32"/>
      <c r="W52" s="21"/>
      <c r="X52" s="32"/>
    </row>
    <row r="53" spans="1:24" x14ac:dyDescent="0.3">
      <c r="A53" s="31"/>
      <c r="B53" s="21"/>
      <c r="C53" s="21"/>
      <c r="D53" s="21"/>
      <c r="E53" s="21"/>
      <c r="F53" s="21"/>
      <c r="G53" s="21"/>
      <c r="H53" s="21"/>
      <c r="I53" s="21"/>
      <c r="J53" s="21"/>
      <c r="K53" s="21"/>
      <c r="L53" s="21"/>
      <c r="M53" s="21"/>
      <c r="N53" s="21"/>
      <c r="O53" s="21"/>
      <c r="P53" s="21"/>
      <c r="Q53" s="21"/>
      <c r="R53" s="21"/>
      <c r="S53" s="21"/>
      <c r="T53" s="21"/>
      <c r="U53" s="21"/>
      <c r="V53" s="32"/>
      <c r="W53" s="21"/>
      <c r="X53" s="32"/>
    </row>
    <row r="54" spans="1:24" x14ac:dyDescent="0.3">
      <c r="A54" s="31"/>
      <c r="B54" s="21"/>
      <c r="C54" s="21"/>
      <c r="D54" s="21"/>
      <c r="E54" s="21"/>
      <c r="F54" s="21"/>
      <c r="G54" s="21"/>
      <c r="H54" s="21"/>
      <c r="I54" s="21"/>
      <c r="J54" s="21"/>
      <c r="K54" s="21"/>
      <c r="L54" s="21"/>
      <c r="M54" s="21"/>
      <c r="N54" s="21"/>
      <c r="O54" s="21"/>
      <c r="P54" s="21"/>
      <c r="Q54" s="21"/>
      <c r="R54" s="21"/>
      <c r="S54" s="21"/>
      <c r="T54" s="21"/>
      <c r="U54" s="21"/>
      <c r="V54" s="32"/>
      <c r="W54" s="21"/>
      <c r="X54" s="32"/>
    </row>
    <row r="55" spans="1:24" x14ac:dyDescent="0.3">
      <c r="A55" s="31"/>
      <c r="B55" s="21"/>
      <c r="C55" s="21"/>
      <c r="D55" s="21"/>
      <c r="E55" s="21"/>
      <c r="F55" s="21"/>
      <c r="G55" s="21"/>
      <c r="H55" s="21"/>
      <c r="I55" s="21"/>
      <c r="J55" s="21"/>
      <c r="K55" s="21"/>
      <c r="L55" s="21"/>
      <c r="M55" s="21"/>
      <c r="N55" s="21"/>
      <c r="O55" s="21"/>
      <c r="P55" s="21"/>
      <c r="Q55" s="21"/>
      <c r="R55" s="21"/>
      <c r="S55" s="21"/>
      <c r="T55" s="21"/>
      <c r="U55" s="21"/>
      <c r="V55" s="32"/>
      <c r="W55" s="21"/>
      <c r="X55" s="32"/>
    </row>
    <row r="56" spans="1:24" x14ac:dyDescent="0.3">
      <c r="A56" s="31"/>
      <c r="B56" s="21"/>
      <c r="C56" s="21"/>
      <c r="D56" s="21"/>
      <c r="E56" s="21"/>
      <c r="F56" s="21"/>
      <c r="G56" s="21"/>
      <c r="H56" s="21"/>
      <c r="I56" s="21"/>
      <c r="J56" s="21"/>
      <c r="K56" s="21"/>
      <c r="L56" s="21"/>
      <c r="M56" s="21"/>
      <c r="N56" s="21"/>
      <c r="O56" s="21"/>
      <c r="P56" s="21"/>
      <c r="Q56" s="21"/>
      <c r="R56" s="21"/>
      <c r="S56" s="21"/>
      <c r="T56" s="21"/>
      <c r="U56" s="21"/>
      <c r="V56" s="32"/>
      <c r="W56" s="21"/>
      <c r="X56" s="32"/>
    </row>
    <row r="57" spans="1:24" x14ac:dyDescent="0.3">
      <c r="A57" s="31"/>
      <c r="B57" s="21"/>
      <c r="C57" s="21"/>
      <c r="D57" s="21"/>
      <c r="E57" s="21"/>
      <c r="F57" s="21"/>
      <c r="G57" s="21"/>
      <c r="H57" s="21"/>
      <c r="I57" s="21"/>
      <c r="J57" s="21"/>
      <c r="K57" s="21"/>
      <c r="L57" s="21"/>
      <c r="M57" s="21"/>
      <c r="N57" s="21"/>
      <c r="O57" s="21"/>
      <c r="P57" s="21"/>
      <c r="Q57" s="21"/>
      <c r="R57" s="21"/>
      <c r="S57" s="21"/>
      <c r="T57" s="21"/>
      <c r="U57" s="21"/>
      <c r="V57" s="32"/>
      <c r="W57" s="21"/>
      <c r="X57" s="32"/>
    </row>
    <row r="58" spans="1:24" x14ac:dyDescent="0.3">
      <c r="A58" s="31"/>
      <c r="B58" s="21"/>
      <c r="C58" s="21"/>
      <c r="D58" s="21"/>
      <c r="E58" s="21"/>
      <c r="F58" s="21"/>
      <c r="G58" s="21"/>
      <c r="H58" s="21"/>
      <c r="I58" s="21"/>
      <c r="J58" s="21"/>
      <c r="K58" s="21"/>
      <c r="L58" s="21"/>
      <c r="M58" s="21"/>
      <c r="N58" s="21"/>
      <c r="O58" s="21"/>
      <c r="P58" s="21"/>
      <c r="Q58" s="21"/>
      <c r="R58" s="21"/>
      <c r="S58" s="21"/>
      <c r="T58" s="21"/>
      <c r="U58" s="21"/>
      <c r="V58" s="32"/>
      <c r="W58" s="21"/>
      <c r="X58" s="32"/>
    </row>
    <row r="59" spans="1:24" x14ac:dyDescent="0.3">
      <c r="A59" s="31"/>
      <c r="B59" s="21"/>
      <c r="C59" s="21"/>
      <c r="D59" s="21"/>
      <c r="E59" s="21"/>
      <c r="F59" s="21"/>
      <c r="G59" s="21"/>
      <c r="H59" s="21"/>
      <c r="I59" s="21"/>
      <c r="J59" s="21"/>
      <c r="K59" s="21"/>
      <c r="L59" s="21"/>
      <c r="M59" s="21"/>
      <c r="N59" s="21"/>
      <c r="O59" s="21"/>
      <c r="P59" s="21"/>
      <c r="Q59" s="21"/>
      <c r="R59" s="21"/>
      <c r="S59" s="21"/>
      <c r="T59" s="21"/>
      <c r="U59" s="21"/>
      <c r="V59" s="32"/>
      <c r="W59" s="21"/>
      <c r="X59" s="32"/>
    </row>
    <row r="60" spans="1:24" x14ac:dyDescent="0.3">
      <c r="A60" s="31"/>
      <c r="B60" s="21"/>
      <c r="C60" s="21"/>
      <c r="D60" s="21"/>
      <c r="E60" s="21"/>
      <c r="F60" s="21"/>
      <c r="G60" s="21"/>
      <c r="H60" s="21"/>
      <c r="I60" s="21"/>
      <c r="J60" s="21"/>
      <c r="K60" s="21"/>
      <c r="L60" s="21"/>
      <c r="M60" s="21"/>
      <c r="N60" s="21"/>
      <c r="O60" s="21"/>
      <c r="P60" s="21"/>
      <c r="Q60" s="21"/>
      <c r="R60" s="21"/>
      <c r="S60" s="21"/>
      <c r="T60" s="21"/>
      <c r="U60" s="21"/>
      <c r="V60" s="32"/>
      <c r="W60" s="21"/>
      <c r="X60" s="32"/>
    </row>
    <row r="61" spans="1:24" x14ac:dyDescent="0.3">
      <c r="A61" s="31"/>
      <c r="B61" s="21"/>
      <c r="C61" s="21"/>
      <c r="D61" s="21"/>
      <c r="E61" s="21"/>
      <c r="F61" s="21"/>
      <c r="G61" s="21"/>
      <c r="H61" s="21"/>
      <c r="I61" s="21"/>
      <c r="J61" s="21"/>
      <c r="K61" s="21"/>
      <c r="L61" s="21"/>
      <c r="M61" s="21"/>
      <c r="N61" s="21"/>
      <c r="O61" s="21"/>
      <c r="P61" s="21"/>
      <c r="Q61" s="21"/>
      <c r="R61" s="21"/>
      <c r="S61" s="21"/>
      <c r="T61" s="21"/>
      <c r="U61" s="21"/>
      <c r="V61" s="32"/>
      <c r="W61" s="21"/>
      <c r="X61" s="32"/>
    </row>
    <row r="62" spans="1:24" ht="12" customHeight="1" x14ac:dyDescent="0.3">
      <c r="A62" s="31"/>
      <c r="B62" s="21"/>
      <c r="C62" s="21"/>
      <c r="D62" s="21"/>
      <c r="E62" s="21"/>
      <c r="F62" s="21"/>
      <c r="G62" s="21"/>
      <c r="H62" s="21"/>
      <c r="I62" s="21"/>
      <c r="J62" s="21"/>
      <c r="K62" s="21"/>
      <c r="L62" s="21"/>
      <c r="M62" s="21"/>
      <c r="N62" s="21"/>
      <c r="O62" s="21"/>
      <c r="P62" s="21"/>
      <c r="Q62" s="21"/>
      <c r="R62" s="21"/>
      <c r="S62" s="21"/>
      <c r="T62" s="21"/>
      <c r="U62" s="21"/>
      <c r="V62" s="32"/>
      <c r="W62" s="21"/>
      <c r="X62" s="32"/>
    </row>
    <row r="63" spans="1:24" x14ac:dyDescent="0.3">
      <c r="A63" s="31"/>
      <c r="B63" s="21"/>
      <c r="C63" s="21"/>
      <c r="D63" s="21"/>
      <c r="E63" s="21"/>
      <c r="F63" s="21"/>
      <c r="G63" s="21"/>
      <c r="H63" s="21"/>
      <c r="I63" s="21"/>
      <c r="J63" s="21"/>
      <c r="K63" s="21"/>
      <c r="L63" s="21"/>
      <c r="M63" s="21"/>
      <c r="N63" s="21"/>
      <c r="O63" s="21"/>
      <c r="P63" s="21"/>
      <c r="Q63" s="21"/>
      <c r="R63" s="21"/>
      <c r="S63" s="21"/>
      <c r="T63" s="21"/>
      <c r="U63" s="21"/>
      <c r="V63" s="32"/>
      <c r="W63" s="34"/>
      <c r="X63" s="33"/>
    </row>
    <row r="64" spans="1:24" x14ac:dyDescent="0.3">
      <c r="A64" s="38"/>
      <c r="B64" s="39"/>
      <c r="C64" s="39"/>
      <c r="D64" s="39"/>
      <c r="E64" s="39"/>
      <c r="F64" s="39"/>
      <c r="G64" s="39"/>
      <c r="H64" s="39"/>
      <c r="I64" s="39"/>
      <c r="J64" s="39"/>
      <c r="K64" s="39"/>
      <c r="L64" s="39"/>
      <c r="M64" s="39"/>
      <c r="N64" s="39"/>
      <c r="O64" s="39"/>
      <c r="P64" s="39"/>
      <c r="V64" s="40"/>
    </row>
  </sheetData>
  <mergeCells count="1">
    <mergeCell ref="W1:X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46"/>
  <sheetViews>
    <sheetView topLeftCell="B1" workbookViewId="0">
      <selection activeCell="N14" sqref="N14"/>
    </sheetView>
  </sheetViews>
  <sheetFormatPr defaultRowHeight="14.4" x14ac:dyDescent="0.3"/>
  <cols>
    <col min="2" max="2" width="7.109375" bestFit="1" customWidth="1"/>
    <col min="3" max="3" width="27.109375" bestFit="1" customWidth="1"/>
    <col min="4" max="4" width="22.77734375" bestFit="1" customWidth="1"/>
    <col min="5" max="5" width="6.6640625" customWidth="1"/>
    <col min="6" max="6" width="7.44140625" style="6" customWidth="1"/>
    <col min="7" max="7" width="16.109375" bestFit="1" customWidth="1"/>
    <col min="8" max="8" width="10.109375" bestFit="1" customWidth="1"/>
    <col min="9" max="9" width="16.33203125" bestFit="1" customWidth="1"/>
    <col min="10" max="10" width="6.6640625" customWidth="1"/>
    <col min="11" max="11" width="6.109375" style="6" customWidth="1"/>
    <col min="12" max="12" width="7.109375" bestFit="1" customWidth="1"/>
    <col min="13" max="13" width="7" bestFit="1" customWidth="1"/>
    <col min="14" max="14" width="9" bestFit="1" customWidth="1"/>
    <col min="15" max="15" width="6.5546875" customWidth="1"/>
    <col min="16" max="16" width="8.5546875" style="6" customWidth="1"/>
    <col min="17" max="18" width="18.5546875" bestFit="1" customWidth="1"/>
    <col min="19" max="19" width="11" bestFit="1" customWidth="1"/>
    <col min="20" max="20" width="10" bestFit="1" customWidth="1"/>
    <col min="21" max="21" width="11" bestFit="1" customWidth="1"/>
    <col min="22" max="22" width="9.77734375" customWidth="1"/>
    <col min="23" max="23" width="29" customWidth="1"/>
    <col min="24" max="24" width="22.33203125" style="10" customWidth="1"/>
    <col min="25" max="25" width="23.21875" bestFit="1" customWidth="1"/>
    <col min="26" max="26" width="11.44140625" bestFit="1" customWidth="1"/>
    <col min="27" max="27" width="7.109375" bestFit="1" customWidth="1"/>
    <col min="28" max="28" width="11.44140625" bestFit="1" customWidth="1"/>
    <col min="29" max="29" width="9.88671875" bestFit="1" customWidth="1"/>
    <col min="30" max="30" width="13.109375" bestFit="1" customWidth="1"/>
    <col min="31" max="31" width="11.109375" bestFit="1" customWidth="1"/>
    <col min="32" max="38" width="8" bestFit="1" customWidth="1"/>
    <col min="39" max="39" width="10.77734375" bestFit="1" customWidth="1"/>
    <col min="40" max="40" width="12.77734375" bestFit="1" customWidth="1"/>
    <col min="41" max="42" width="9.77734375" bestFit="1" customWidth="1"/>
    <col min="43" max="43" width="8" bestFit="1" customWidth="1"/>
    <col min="44" max="44" width="7" bestFit="1" customWidth="1"/>
    <col min="45" max="62" width="8" bestFit="1" customWidth="1"/>
    <col min="63" max="64" width="9" bestFit="1" customWidth="1"/>
    <col min="65" max="65" width="8" bestFit="1" customWidth="1"/>
    <col min="66" max="83" width="9" bestFit="1" customWidth="1"/>
    <col min="84" max="84" width="8" bestFit="1" customWidth="1"/>
    <col min="85" max="96" width="9" bestFit="1" customWidth="1"/>
    <col min="97" max="97" width="8" bestFit="1" customWidth="1"/>
    <col min="98" max="106" width="9" bestFit="1" customWidth="1"/>
    <col min="107" max="107" width="8" bestFit="1" customWidth="1"/>
    <col min="108" max="115" width="9" bestFit="1" customWidth="1"/>
    <col min="116" max="117" width="8" bestFit="1" customWidth="1"/>
    <col min="118" max="119" width="9" bestFit="1" customWidth="1"/>
    <col min="120" max="120" width="10.77734375" bestFit="1" customWidth="1"/>
  </cols>
  <sheetData>
    <row r="1" spans="2:40" x14ac:dyDescent="0.3">
      <c r="W1" s="15"/>
      <c r="X1"/>
    </row>
    <row r="2" spans="2:40" x14ac:dyDescent="0.3">
      <c r="B2" t="s">
        <v>123</v>
      </c>
      <c r="G2" t="s">
        <v>124</v>
      </c>
      <c r="L2" t="s">
        <v>127</v>
      </c>
      <c r="Q2" t="s">
        <v>128</v>
      </c>
      <c r="W2" s="15"/>
      <c r="X2"/>
    </row>
    <row r="3" spans="2:40" x14ac:dyDescent="0.3">
      <c r="W3" s="15"/>
      <c r="X3"/>
      <c r="Y3" t="s">
        <v>129</v>
      </c>
    </row>
    <row r="4" spans="2:40" x14ac:dyDescent="0.3">
      <c r="W4" s="15"/>
      <c r="X4"/>
      <c r="AM4" t="s">
        <v>157</v>
      </c>
    </row>
    <row r="5" spans="2:40" x14ac:dyDescent="0.3">
      <c r="W5" s="15"/>
      <c r="X5"/>
    </row>
    <row r="6" spans="2:40" x14ac:dyDescent="0.3">
      <c r="B6" s="4" t="s">
        <v>122</v>
      </c>
      <c r="C6" t="s">
        <v>162</v>
      </c>
      <c r="D6" t="s">
        <v>161</v>
      </c>
      <c r="G6" s="4" t="s">
        <v>158</v>
      </c>
      <c r="H6" t="s">
        <v>159</v>
      </c>
      <c r="L6" s="4" t="s">
        <v>122</v>
      </c>
      <c r="M6" t="s">
        <v>125</v>
      </c>
      <c r="N6" t="s">
        <v>126</v>
      </c>
      <c r="Q6" s="4" t="s">
        <v>131</v>
      </c>
      <c r="R6" s="4" t="s">
        <v>130</v>
      </c>
      <c r="S6" t="s">
        <v>139</v>
      </c>
      <c r="T6" t="s">
        <v>138</v>
      </c>
      <c r="W6" s="15"/>
      <c r="X6"/>
      <c r="Y6" s="4" t="s">
        <v>149</v>
      </c>
      <c r="Z6" s="4" t="s">
        <v>109</v>
      </c>
      <c r="AA6" s="4" t="s">
        <v>122</v>
      </c>
      <c r="AB6" t="s">
        <v>126</v>
      </c>
      <c r="AC6" t="s">
        <v>163</v>
      </c>
      <c r="AM6" s="4" t="s">
        <v>149</v>
      </c>
      <c r="AN6" t="s">
        <v>156</v>
      </c>
    </row>
    <row r="7" spans="2:40" x14ac:dyDescent="0.3">
      <c r="B7" s="5" t="s">
        <v>3</v>
      </c>
      <c r="C7">
        <v>30</v>
      </c>
      <c r="D7">
        <v>2</v>
      </c>
      <c r="G7" s="5" t="s">
        <v>119</v>
      </c>
      <c r="H7">
        <v>1.8</v>
      </c>
      <c r="L7" s="5" t="s">
        <v>38</v>
      </c>
      <c r="M7">
        <v>105.2</v>
      </c>
      <c r="N7">
        <v>15539.76</v>
      </c>
      <c r="Q7" t="s">
        <v>133</v>
      </c>
      <c r="R7" t="s">
        <v>32</v>
      </c>
      <c r="S7">
        <v>1178227.52</v>
      </c>
      <c r="T7">
        <v>32</v>
      </c>
      <c r="W7" s="15"/>
      <c r="X7"/>
      <c r="Y7" t="s">
        <v>133</v>
      </c>
      <c r="Z7" t="s">
        <v>32</v>
      </c>
      <c r="AA7" t="s">
        <v>61</v>
      </c>
      <c r="AB7" s="24">
        <v>75049.740000000005</v>
      </c>
      <c r="AC7" s="24">
        <v>193.81</v>
      </c>
      <c r="AM7" s="5" t="s">
        <v>135</v>
      </c>
      <c r="AN7" s="24">
        <v>63630.54</v>
      </c>
    </row>
    <row r="8" spans="2:40" x14ac:dyDescent="0.3">
      <c r="B8" s="5" t="s">
        <v>8</v>
      </c>
      <c r="C8">
        <v>30</v>
      </c>
      <c r="D8">
        <v>4</v>
      </c>
      <c r="G8" s="5" t="s">
        <v>118</v>
      </c>
      <c r="H8">
        <v>2.34</v>
      </c>
      <c r="L8" s="5" t="s">
        <v>39</v>
      </c>
      <c r="M8">
        <v>107.37</v>
      </c>
      <c r="N8">
        <v>3916.57</v>
      </c>
      <c r="Q8" t="s">
        <v>135</v>
      </c>
      <c r="R8" t="s">
        <v>134</v>
      </c>
      <c r="S8">
        <v>63630.540000000008</v>
      </c>
      <c r="T8">
        <v>14</v>
      </c>
      <c r="W8" s="15"/>
      <c r="X8"/>
      <c r="AA8" t="s">
        <v>72</v>
      </c>
      <c r="AB8" s="24">
        <v>55943.06</v>
      </c>
      <c r="AC8" s="24">
        <v>195.6</v>
      </c>
      <c r="AM8" s="5" t="s">
        <v>137</v>
      </c>
      <c r="AN8" s="24">
        <v>181899.44000000003</v>
      </c>
    </row>
    <row r="9" spans="2:40" x14ac:dyDescent="0.3">
      <c r="B9" s="5" t="s">
        <v>9</v>
      </c>
      <c r="C9">
        <v>29</v>
      </c>
      <c r="D9">
        <v>5</v>
      </c>
      <c r="G9" s="5" t="s">
        <v>117</v>
      </c>
      <c r="H9">
        <v>2.36</v>
      </c>
      <c r="L9" s="5" t="s">
        <v>40</v>
      </c>
      <c r="M9">
        <v>99.54</v>
      </c>
      <c r="N9">
        <v>17248.41</v>
      </c>
      <c r="Q9" t="s">
        <v>132</v>
      </c>
      <c r="R9" t="s">
        <v>31</v>
      </c>
      <c r="S9">
        <v>856510.97999999986</v>
      </c>
      <c r="T9">
        <v>20</v>
      </c>
      <c r="W9" s="15"/>
      <c r="X9"/>
      <c r="AA9" t="s">
        <v>92</v>
      </c>
      <c r="AB9" s="24">
        <v>56338.21</v>
      </c>
      <c r="AC9" s="24">
        <v>99.35</v>
      </c>
      <c r="AM9" s="5" t="s">
        <v>132</v>
      </c>
      <c r="AN9" s="24">
        <v>856510.98</v>
      </c>
    </row>
    <row r="10" spans="2:40" x14ac:dyDescent="0.3">
      <c r="B10" s="5" t="s">
        <v>13</v>
      </c>
      <c r="C10">
        <v>29</v>
      </c>
      <c r="D10">
        <v>3</v>
      </c>
      <c r="G10" s="5" t="s">
        <v>116</v>
      </c>
      <c r="H10">
        <v>2.4700000000000002</v>
      </c>
      <c r="L10" s="5" t="s">
        <v>41</v>
      </c>
      <c r="M10">
        <v>81.3</v>
      </c>
      <c r="N10">
        <v>2031.91</v>
      </c>
      <c r="W10" s="15"/>
      <c r="X10"/>
      <c r="AA10" t="s">
        <v>94</v>
      </c>
      <c r="AB10" s="24">
        <v>55024.31</v>
      </c>
      <c r="AC10" s="24">
        <v>290.61</v>
      </c>
      <c r="AM10" s="5" t="s">
        <v>133</v>
      </c>
      <c r="AN10" s="24">
        <v>1178227.52</v>
      </c>
    </row>
    <row r="11" spans="2:40" x14ac:dyDescent="0.3">
      <c r="B11" s="5" t="s">
        <v>22</v>
      </c>
      <c r="C11">
        <v>28</v>
      </c>
      <c r="D11">
        <v>4</v>
      </c>
      <c r="G11" s="5" t="s">
        <v>115</v>
      </c>
      <c r="H11">
        <v>2.67</v>
      </c>
      <c r="L11" s="5" t="s">
        <v>44</v>
      </c>
      <c r="M11">
        <v>87.12</v>
      </c>
      <c r="N11">
        <v>9473.0499999999993</v>
      </c>
      <c r="W11" s="15"/>
      <c r="X11"/>
      <c r="AA11" t="s">
        <v>6</v>
      </c>
      <c r="AB11" s="24">
        <v>62680.29</v>
      </c>
      <c r="AC11" s="24">
        <v>219.14</v>
      </c>
      <c r="AM11" s="5" t="s">
        <v>121</v>
      </c>
      <c r="AN11">
        <v>2280268.48</v>
      </c>
    </row>
    <row r="12" spans="2:40" x14ac:dyDescent="0.3">
      <c r="B12" s="5" t="s">
        <v>14</v>
      </c>
      <c r="C12">
        <v>27</v>
      </c>
      <c r="D12">
        <v>4</v>
      </c>
      <c r="L12" s="5" t="s">
        <v>48</v>
      </c>
      <c r="M12">
        <v>101.53</v>
      </c>
      <c r="N12">
        <v>1589.28</v>
      </c>
      <c r="W12" s="15"/>
      <c r="X12"/>
      <c r="Z12" t="s">
        <v>154</v>
      </c>
      <c r="AB12" s="24">
        <v>305035.61</v>
      </c>
      <c r="AC12" s="24">
        <v>998.51</v>
      </c>
    </row>
    <row r="13" spans="2:40" x14ac:dyDescent="0.3">
      <c r="B13" s="5" t="s">
        <v>4</v>
      </c>
      <c r="C13">
        <v>27</v>
      </c>
      <c r="D13">
        <v>3</v>
      </c>
      <c r="L13" s="5" t="s">
        <v>50</v>
      </c>
      <c r="M13">
        <v>80.510000000000005</v>
      </c>
      <c r="N13">
        <v>5546.86</v>
      </c>
      <c r="Q13" t="s">
        <v>140</v>
      </c>
      <c r="W13" s="15"/>
      <c r="X13"/>
      <c r="Z13" t="s">
        <v>31</v>
      </c>
      <c r="AA13" t="s">
        <v>55</v>
      </c>
      <c r="AB13" s="24">
        <v>61826.67</v>
      </c>
      <c r="AC13" s="24">
        <v>91.46</v>
      </c>
    </row>
    <row r="14" spans="2:40" x14ac:dyDescent="0.3">
      <c r="B14" s="5" t="s">
        <v>6</v>
      </c>
      <c r="C14">
        <v>27</v>
      </c>
      <c r="D14">
        <v>1</v>
      </c>
      <c r="G14" s="4" t="s">
        <v>158</v>
      </c>
      <c r="H14" t="s">
        <v>160</v>
      </c>
      <c r="L14" s="5" t="s">
        <v>52</v>
      </c>
      <c r="M14">
        <v>69.33</v>
      </c>
      <c r="N14">
        <v>875.2</v>
      </c>
      <c r="Q14" t="s">
        <v>139</v>
      </c>
      <c r="W14" s="15"/>
      <c r="X14"/>
      <c r="AA14" t="s">
        <v>71</v>
      </c>
      <c r="AB14" s="24">
        <v>80368.3</v>
      </c>
      <c r="AC14" s="24">
        <v>46.69</v>
      </c>
    </row>
    <row r="15" spans="2:40" x14ac:dyDescent="0.3">
      <c r="G15" s="5" t="s">
        <v>116</v>
      </c>
      <c r="H15">
        <v>15</v>
      </c>
      <c r="L15" s="5" t="s">
        <v>54</v>
      </c>
      <c r="M15">
        <v>60.59</v>
      </c>
      <c r="N15">
        <v>2562.89</v>
      </c>
      <c r="Q15">
        <v>2280268.48</v>
      </c>
      <c r="W15" s="15"/>
      <c r="X15"/>
      <c r="AA15" t="s">
        <v>73</v>
      </c>
      <c r="AB15" s="24">
        <v>53548.05</v>
      </c>
      <c r="AC15" s="24">
        <v>51.91</v>
      </c>
    </row>
    <row r="16" spans="2:40" x14ac:dyDescent="0.3">
      <c r="G16" s="5" t="s">
        <v>118</v>
      </c>
      <c r="H16">
        <v>18</v>
      </c>
      <c r="L16" s="5" t="s">
        <v>11</v>
      </c>
      <c r="M16">
        <v>62.93</v>
      </c>
      <c r="N16">
        <v>8479.43</v>
      </c>
      <c r="W16" s="15"/>
      <c r="X16"/>
      <c r="AA16" t="s">
        <v>91</v>
      </c>
      <c r="AB16" s="24">
        <v>79384.100000000006</v>
      </c>
      <c r="AC16" s="24">
        <v>68.39</v>
      </c>
    </row>
    <row r="17" spans="7:29" x14ac:dyDescent="0.3">
      <c r="G17" s="5" t="s">
        <v>115</v>
      </c>
      <c r="H17">
        <v>18</v>
      </c>
      <c r="L17" s="5" t="s">
        <v>35</v>
      </c>
      <c r="M17">
        <v>95.96</v>
      </c>
      <c r="N17">
        <v>4089.63</v>
      </c>
      <c r="W17" s="15"/>
      <c r="X17"/>
      <c r="AA17" t="s">
        <v>103</v>
      </c>
      <c r="AB17" s="24">
        <v>52283.92</v>
      </c>
      <c r="AC17" s="24">
        <v>49.65</v>
      </c>
    </row>
    <row r="18" spans="7:29" x14ac:dyDescent="0.3">
      <c r="G18" s="5" t="s">
        <v>117</v>
      </c>
      <c r="H18">
        <v>22</v>
      </c>
      <c r="L18" s="5" t="s">
        <v>14</v>
      </c>
      <c r="M18">
        <v>103.95</v>
      </c>
      <c r="N18">
        <v>7108.07</v>
      </c>
      <c r="W18" s="15"/>
      <c r="X18"/>
      <c r="Z18" t="s">
        <v>155</v>
      </c>
      <c r="AB18" s="24">
        <v>327411.03999999998</v>
      </c>
      <c r="AC18" s="24">
        <v>308.09999999999997</v>
      </c>
    </row>
    <row r="19" spans="7:29" x14ac:dyDescent="0.3">
      <c r="G19" s="5" t="s">
        <v>119</v>
      </c>
      <c r="H19">
        <v>27</v>
      </c>
      <c r="L19" s="5" t="s">
        <v>65</v>
      </c>
      <c r="M19">
        <v>71.53</v>
      </c>
      <c r="N19">
        <v>739.29</v>
      </c>
      <c r="W19" s="15"/>
      <c r="X19"/>
      <c r="Y19" t="s">
        <v>151</v>
      </c>
      <c r="AB19" s="24">
        <v>632446.65</v>
      </c>
      <c r="AC19" s="24">
        <v>1306.6100000000004</v>
      </c>
    </row>
    <row r="20" spans="7:29" x14ac:dyDescent="0.3">
      <c r="L20" s="5" t="s">
        <v>4</v>
      </c>
      <c r="M20">
        <v>61.21</v>
      </c>
      <c r="N20">
        <v>188.69</v>
      </c>
      <c r="Q20" t="s">
        <v>141</v>
      </c>
      <c r="W20" s="15"/>
      <c r="X20"/>
      <c r="Y20" t="s">
        <v>132</v>
      </c>
      <c r="Z20" t="s">
        <v>31</v>
      </c>
      <c r="AA20" t="s">
        <v>30</v>
      </c>
      <c r="AB20" s="24">
        <v>55936.78</v>
      </c>
      <c r="AC20" s="24">
        <v>9.06</v>
      </c>
    </row>
    <row r="21" spans="7:29" x14ac:dyDescent="0.3">
      <c r="L21" s="5" t="s">
        <v>16</v>
      </c>
      <c r="M21">
        <v>84.36</v>
      </c>
      <c r="N21">
        <v>7258.28</v>
      </c>
      <c r="Q21" s="4" t="s">
        <v>130</v>
      </c>
      <c r="R21" t="s">
        <v>139</v>
      </c>
      <c r="W21" s="15"/>
      <c r="X21"/>
      <c r="AA21" t="s">
        <v>7</v>
      </c>
      <c r="AB21" s="24">
        <v>86977.93</v>
      </c>
      <c r="AC21" s="24">
        <v>1.1000000000000001</v>
      </c>
    </row>
    <row r="22" spans="7:29" x14ac:dyDescent="0.3">
      <c r="L22" s="5" t="s">
        <v>19</v>
      </c>
      <c r="M22">
        <v>76.94</v>
      </c>
      <c r="N22">
        <v>11105.81</v>
      </c>
      <c r="Q22" t="s">
        <v>134</v>
      </c>
      <c r="R22" s="24">
        <v>63630.540000000008</v>
      </c>
      <c r="W22" s="15"/>
      <c r="X22"/>
      <c r="AA22" t="s">
        <v>9</v>
      </c>
      <c r="AB22" s="24">
        <v>55726.46</v>
      </c>
      <c r="AC22" s="24">
        <v>5.94</v>
      </c>
    </row>
    <row r="23" spans="7:29" x14ac:dyDescent="0.3">
      <c r="L23" s="5" t="s">
        <v>75</v>
      </c>
      <c r="M23">
        <v>91.59</v>
      </c>
      <c r="N23">
        <v>6379.06</v>
      </c>
      <c r="Q23" t="s">
        <v>136</v>
      </c>
      <c r="R23" s="24">
        <v>181899.44</v>
      </c>
      <c r="W23" s="15"/>
      <c r="X23"/>
      <c r="AA23" t="s">
        <v>67</v>
      </c>
      <c r="AB23" s="24">
        <v>87069.35</v>
      </c>
      <c r="AC23" s="24">
        <v>12.94</v>
      </c>
    </row>
    <row r="24" spans="7:29" x14ac:dyDescent="0.3">
      <c r="L24" s="5" t="s">
        <v>76</v>
      </c>
      <c r="M24">
        <v>87.73</v>
      </c>
      <c r="N24">
        <v>5999.63</v>
      </c>
      <c r="Q24" t="s">
        <v>31</v>
      </c>
      <c r="R24" s="24">
        <v>856510.97999999986</v>
      </c>
      <c r="W24" s="15"/>
      <c r="X24"/>
      <c r="AA24" t="s">
        <v>100</v>
      </c>
      <c r="AB24" s="24">
        <v>56847.32</v>
      </c>
      <c r="AC24" s="24">
        <v>21.28</v>
      </c>
    </row>
    <row r="25" spans="7:29" x14ac:dyDescent="0.3">
      <c r="L25" s="5" t="s">
        <v>82</v>
      </c>
      <c r="M25">
        <v>98.31</v>
      </c>
      <c r="N25">
        <v>6084.58</v>
      </c>
      <c r="Q25" t="s">
        <v>32</v>
      </c>
      <c r="R25" s="24">
        <v>1178227.52</v>
      </c>
      <c r="W25" s="15"/>
      <c r="X25"/>
      <c r="Z25" t="s">
        <v>155</v>
      </c>
      <c r="AB25" s="24">
        <v>342557.84</v>
      </c>
      <c r="AC25" s="24">
        <v>50.32</v>
      </c>
    </row>
    <row r="26" spans="7:29" x14ac:dyDescent="0.3">
      <c r="L26" s="5" t="s">
        <v>5</v>
      </c>
      <c r="M26">
        <v>101.81</v>
      </c>
      <c r="N26">
        <v>18198.46</v>
      </c>
      <c r="W26" s="15"/>
      <c r="X26"/>
      <c r="Y26" t="s">
        <v>153</v>
      </c>
      <c r="AB26" s="24">
        <v>342557.84</v>
      </c>
      <c r="AC26" s="24">
        <v>50.32</v>
      </c>
    </row>
    <row r="27" spans="7:29" x14ac:dyDescent="0.3">
      <c r="L27" s="5" t="s">
        <v>87</v>
      </c>
      <c r="M27">
        <v>85.82</v>
      </c>
      <c r="N27">
        <v>2779.87</v>
      </c>
      <c r="Y27" t="s">
        <v>137</v>
      </c>
      <c r="Z27" t="s">
        <v>32</v>
      </c>
      <c r="AA27" t="s">
        <v>3</v>
      </c>
      <c r="AB27" s="24">
        <v>10881.5</v>
      </c>
      <c r="AC27" s="24">
        <v>266.97000000000003</v>
      </c>
    </row>
    <row r="28" spans="7:29" x14ac:dyDescent="0.3">
      <c r="L28" s="5" t="s">
        <v>89</v>
      </c>
      <c r="M28">
        <v>71.38</v>
      </c>
      <c r="N28">
        <v>16583.84</v>
      </c>
      <c r="AA28" t="s">
        <v>44</v>
      </c>
      <c r="AB28" s="24">
        <v>9473.0499999999993</v>
      </c>
      <c r="AC28" s="24">
        <v>123.98</v>
      </c>
    </row>
    <row r="29" spans="7:29" x14ac:dyDescent="0.3">
      <c r="L29" s="5" t="s">
        <v>90</v>
      </c>
      <c r="M29">
        <v>79.59</v>
      </c>
      <c r="N29">
        <v>5886.72</v>
      </c>
      <c r="AA29" t="s">
        <v>12</v>
      </c>
      <c r="AB29" s="24">
        <v>9402.2800000000007</v>
      </c>
      <c r="AC29" s="24">
        <v>197.89</v>
      </c>
    </row>
    <row r="30" spans="7:29" x14ac:dyDescent="0.3">
      <c r="L30" s="5" t="s">
        <v>23</v>
      </c>
      <c r="M30">
        <v>64.37</v>
      </c>
      <c r="N30">
        <v>11232.92</v>
      </c>
      <c r="AA30" t="s">
        <v>19</v>
      </c>
      <c r="AB30" s="24">
        <v>11105.81</v>
      </c>
      <c r="AC30" s="24">
        <v>100.45</v>
      </c>
    </row>
    <row r="31" spans="7:29" x14ac:dyDescent="0.3">
      <c r="L31" s="5" t="s">
        <v>25</v>
      </c>
      <c r="M31">
        <v>78.180000000000007</v>
      </c>
      <c r="N31">
        <v>1845.9</v>
      </c>
      <c r="AA31" t="s">
        <v>88</v>
      </c>
      <c r="AB31" s="24">
        <v>9807.1299999999992</v>
      </c>
      <c r="AC31" s="24">
        <v>111.65</v>
      </c>
    </row>
    <row r="32" spans="7:29" x14ac:dyDescent="0.3">
      <c r="L32" s="5" t="s">
        <v>95</v>
      </c>
      <c r="M32">
        <v>76.06</v>
      </c>
      <c r="N32">
        <v>4383.53</v>
      </c>
      <c r="Z32" t="s">
        <v>154</v>
      </c>
      <c r="AB32" s="24">
        <v>50669.77</v>
      </c>
      <c r="AC32" s="24">
        <v>800.94</v>
      </c>
    </row>
    <row r="33" spans="12:29" x14ac:dyDescent="0.3">
      <c r="L33" s="5" t="s">
        <v>98</v>
      </c>
      <c r="M33">
        <v>56.53</v>
      </c>
      <c r="N33">
        <v>13043.32</v>
      </c>
      <c r="Z33" t="s">
        <v>31</v>
      </c>
      <c r="AA33" t="s">
        <v>39</v>
      </c>
      <c r="AB33" s="24">
        <v>3916.57</v>
      </c>
      <c r="AC33" s="24">
        <v>65.239999999999995</v>
      </c>
    </row>
    <row r="34" spans="12:29" x14ac:dyDescent="0.3">
      <c r="L34" s="5" t="s">
        <v>99</v>
      </c>
      <c r="M34">
        <v>93.35</v>
      </c>
      <c r="N34">
        <v>4348.8599999999997</v>
      </c>
      <c r="AA34" t="s">
        <v>13</v>
      </c>
      <c r="AB34" s="24">
        <v>3351.87</v>
      </c>
      <c r="AC34" s="24">
        <v>90.02</v>
      </c>
    </row>
    <row r="35" spans="12:29" x14ac:dyDescent="0.3">
      <c r="L35" s="5" t="s">
        <v>101</v>
      </c>
      <c r="M35">
        <v>67.08</v>
      </c>
      <c r="N35">
        <v>13102.05</v>
      </c>
      <c r="AA35" t="s">
        <v>35</v>
      </c>
      <c r="AB35" s="24">
        <v>4089.63</v>
      </c>
      <c r="AC35" s="24">
        <v>50.33</v>
      </c>
    </row>
    <row r="36" spans="12:29" x14ac:dyDescent="0.3">
      <c r="L36" s="5" t="s">
        <v>102</v>
      </c>
      <c r="M36">
        <v>67.33</v>
      </c>
      <c r="N36">
        <v>2930.87</v>
      </c>
      <c r="AA36" t="s">
        <v>37</v>
      </c>
      <c r="AB36" s="24">
        <v>10292.81</v>
      </c>
      <c r="AC36" s="24">
        <v>81.3</v>
      </c>
    </row>
    <row r="37" spans="12:29" x14ac:dyDescent="0.3">
      <c r="L37" s="5" t="s">
        <v>105</v>
      </c>
      <c r="M37">
        <v>73.67</v>
      </c>
      <c r="N37">
        <v>144.94999999999999</v>
      </c>
      <c r="AA37" t="s">
        <v>95</v>
      </c>
      <c r="AB37" s="24">
        <v>4383.53</v>
      </c>
      <c r="AC37" s="24">
        <v>49.24</v>
      </c>
    </row>
    <row r="38" spans="12:29" x14ac:dyDescent="0.3">
      <c r="Z38" t="s">
        <v>155</v>
      </c>
      <c r="AB38" s="24">
        <v>26034.409999999996</v>
      </c>
      <c r="AC38" s="24">
        <v>336.13</v>
      </c>
    </row>
    <row r="39" spans="12:29" x14ac:dyDescent="0.3">
      <c r="Y39" t="s">
        <v>150</v>
      </c>
      <c r="AB39" s="24">
        <v>76704.179999999993</v>
      </c>
      <c r="AC39" s="24">
        <v>1137.0700000000002</v>
      </c>
    </row>
    <row r="40" spans="12:29" x14ac:dyDescent="0.3">
      <c r="Y40" t="s">
        <v>135</v>
      </c>
      <c r="Z40" t="s">
        <v>31</v>
      </c>
      <c r="AA40" t="s">
        <v>42</v>
      </c>
      <c r="AB40" s="24">
        <v>10213.01</v>
      </c>
      <c r="AC40" s="24">
        <v>3.37</v>
      </c>
    </row>
    <row r="41" spans="12:29" x14ac:dyDescent="0.3">
      <c r="AA41" t="s">
        <v>63</v>
      </c>
      <c r="AB41" s="24">
        <v>6992.51</v>
      </c>
      <c r="AC41" s="24">
        <v>14.52</v>
      </c>
    </row>
    <row r="42" spans="12:29" x14ac:dyDescent="0.3">
      <c r="AA42" t="s">
        <v>16</v>
      </c>
      <c r="AB42" s="24">
        <v>7258.28</v>
      </c>
      <c r="AC42" s="24">
        <v>40.9</v>
      </c>
    </row>
    <row r="43" spans="12:29" x14ac:dyDescent="0.3">
      <c r="AA43" t="s">
        <v>82</v>
      </c>
      <c r="AB43" s="24">
        <v>6084.58</v>
      </c>
      <c r="AC43" s="24">
        <v>35.700000000000003</v>
      </c>
    </row>
    <row r="44" spans="12:29" x14ac:dyDescent="0.3">
      <c r="AA44" t="s">
        <v>23</v>
      </c>
      <c r="AB44" s="24">
        <v>11232.92</v>
      </c>
      <c r="AC44" s="24">
        <v>5.14</v>
      </c>
    </row>
    <row r="45" spans="12:29" x14ac:dyDescent="0.3">
      <c r="Z45" t="s">
        <v>155</v>
      </c>
      <c r="AB45" s="24">
        <v>41781.299999999996</v>
      </c>
      <c r="AC45" s="24">
        <v>99.63000000000001</v>
      </c>
    </row>
    <row r="46" spans="12:29" x14ac:dyDescent="0.3">
      <c r="Y46" t="s">
        <v>152</v>
      </c>
      <c r="AB46" s="24">
        <v>41781.299999999996</v>
      </c>
      <c r="AC46" s="24">
        <v>99.63000000000001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2CA7-4FCF-4231-A3C1-54776FF158EE}">
  <dimension ref="A1:C25"/>
  <sheetViews>
    <sheetView workbookViewId="0">
      <selection activeCell="H15" sqref="H15"/>
    </sheetView>
  </sheetViews>
  <sheetFormatPr defaultRowHeight="14.4" x14ac:dyDescent="0.3"/>
  <cols>
    <col min="1" max="1" width="6.21875" bestFit="1" customWidth="1"/>
    <col min="2" max="2" width="15.109375" bestFit="1" customWidth="1"/>
    <col min="3" max="3" width="19.88671875" bestFit="1" customWidth="1"/>
  </cols>
  <sheetData>
    <row r="1" spans="1:3" x14ac:dyDescent="0.3">
      <c r="A1" t="s">
        <v>0</v>
      </c>
      <c r="B1" t="s">
        <v>1</v>
      </c>
      <c r="C1" t="s">
        <v>2</v>
      </c>
    </row>
    <row r="2" spans="1:3" x14ac:dyDescent="0.3">
      <c r="A2" t="s">
        <v>3</v>
      </c>
      <c r="B2">
        <v>2</v>
      </c>
      <c r="C2">
        <v>30</v>
      </c>
    </row>
    <row r="3" spans="1:3" x14ac:dyDescent="0.3">
      <c r="A3" t="s">
        <v>4</v>
      </c>
      <c r="B3">
        <v>3</v>
      </c>
      <c r="C3">
        <v>27</v>
      </c>
    </row>
    <row r="4" spans="1:3" x14ac:dyDescent="0.3">
      <c r="A4" t="s">
        <v>5</v>
      </c>
      <c r="B4">
        <v>1</v>
      </c>
      <c r="C4">
        <v>17</v>
      </c>
    </row>
    <row r="5" spans="1:3" x14ac:dyDescent="0.3">
      <c r="A5" t="s">
        <v>6</v>
      </c>
      <c r="B5">
        <v>1</v>
      </c>
      <c r="C5">
        <v>27</v>
      </c>
    </row>
    <row r="6" spans="1:3" x14ac:dyDescent="0.3">
      <c r="A6" t="s">
        <v>7</v>
      </c>
      <c r="B6">
        <v>1</v>
      </c>
      <c r="C6">
        <v>23</v>
      </c>
    </row>
    <row r="7" spans="1:3" x14ac:dyDescent="0.3">
      <c r="A7" t="s">
        <v>8</v>
      </c>
      <c r="B7">
        <v>4</v>
      </c>
      <c r="C7">
        <v>30</v>
      </c>
    </row>
    <row r="8" spans="1:3" x14ac:dyDescent="0.3">
      <c r="A8" t="s">
        <v>9</v>
      </c>
      <c r="B8">
        <v>5</v>
      </c>
      <c r="C8">
        <v>29</v>
      </c>
    </row>
    <row r="9" spans="1:3" x14ac:dyDescent="0.3">
      <c r="A9" t="s">
        <v>10</v>
      </c>
      <c r="B9">
        <v>4</v>
      </c>
      <c r="C9">
        <v>16</v>
      </c>
    </row>
    <row r="10" spans="1:3" x14ac:dyDescent="0.3">
      <c r="A10" t="s">
        <v>11</v>
      </c>
      <c r="B10">
        <v>4</v>
      </c>
      <c r="C10">
        <v>17</v>
      </c>
    </row>
    <row r="11" spans="1:3" x14ac:dyDescent="0.3">
      <c r="A11" t="s">
        <v>12</v>
      </c>
      <c r="B11">
        <v>3</v>
      </c>
      <c r="C11">
        <v>23</v>
      </c>
    </row>
    <row r="12" spans="1:3" x14ac:dyDescent="0.3">
      <c r="A12" t="s">
        <v>13</v>
      </c>
      <c r="B12">
        <v>3</v>
      </c>
      <c r="C12">
        <v>29</v>
      </c>
    </row>
    <row r="13" spans="1:3" x14ac:dyDescent="0.3">
      <c r="A13" t="s">
        <v>14</v>
      </c>
      <c r="B13">
        <v>4</v>
      </c>
      <c r="C13">
        <v>27</v>
      </c>
    </row>
    <row r="14" spans="1:3" x14ac:dyDescent="0.3">
      <c r="A14" t="s">
        <v>15</v>
      </c>
      <c r="B14">
        <v>3</v>
      </c>
      <c r="C14">
        <v>16</v>
      </c>
    </row>
    <row r="15" spans="1:3" x14ac:dyDescent="0.3">
      <c r="A15" t="s">
        <v>16</v>
      </c>
      <c r="B15">
        <v>3</v>
      </c>
      <c r="C15">
        <v>25</v>
      </c>
    </row>
    <row r="16" spans="1:3" x14ac:dyDescent="0.3">
      <c r="A16" t="s">
        <v>17</v>
      </c>
      <c r="B16">
        <v>3</v>
      </c>
      <c r="C16">
        <v>22</v>
      </c>
    </row>
    <row r="17" spans="1:3" x14ac:dyDescent="0.3">
      <c r="A17" t="s">
        <v>18</v>
      </c>
      <c r="B17">
        <v>5</v>
      </c>
      <c r="C17">
        <v>23</v>
      </c>
    </row>
    <row r="18" spans="1:3" x14ac:dyDescent="0.3">
      <c r="A18" t="s">
        <v>19</v>
      </c>
      <c r="B18">
        <v>1</v>
      </c>
      <c r="C18">
        <v>18</v>
      </c>
    </row>
    <row r="19" spans="1:3" x14ac:dyDescent="0.3">
      <c r="A19" t="s">
        <v>20</v>
      </c>
      <c r="B19">
        <v>4</v>
      </c>
      <c r="C19">
        <v>19</v>
      </c>
    </row>
    <row r="20" spans="1:3" x14ac:dyDescent="0.3">
      <c r="A20" t="s">
        <v>21</v>
      </c>
      <c r="B20">
        <v>5</v>
      </c>
      <c r="C20">
        <v>25</v>
      </c>
    </row>
    <row r="21" spans="1:3" x14ac:dyDescent="0.3">
      <c r="A21" t="s">
        <v>22</v>
      </c>
      <c r="B21">
        <v>4</v>
      </c>
      <c r="C21">
        <v>28</v>
      </c>
    </row>
    <row r="22" spans="1:3" x14ac:dyDescent="0.3">
      <c r="A22" t="s">
        <v>23</v>
      </c>
      <c r="B22">
        <v>1</v>
      </c>
      <c r="C22">
        <v>25</v>
      </c>
    </row>
    <row r="23" spans="1:3" x14ac:dyDescent="0.3">
      <c r="A23" t="s">
        <v>24</v>
      </c>
      <c r="B23">
        <v>1</v>
      </c>
      <c r="C23">
        <v>19</v>
      </c>
    </row>
    <row r="24" spans="1:3" x14ac:dyDescent="0.3">
      <c r="A24" t="s">
        <v>25</v>
      </c>
      <c r="B24">
        <v>2</v>
      </c>
      <c r="C24">
        <v>18</v>
      </c>
    </row>
    <row r="25" spans="1:3" x14ac:dyDescent="0.3">
      <c r="A25" t="s">
        <v>26</v>
      </c>
      <c r="B25">
        <v>1</v>
      </c>
      <c r="C25">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4F55-2433-4219-9CDD-ACCFF94BAF65}">
  <dimension ref="A1:C6"/>
  <sheetViews>
    <sheetView workbookViewId="0">
      <selection sqref="A1:C6"/>
    </sheetView>
  </sheetViews>
  <sheetFormatPr defaultRowHeight="14.4" x14ac:dyDescent="0.3"/>
  <cols>
    <col min="1" max="1" width="15.77734375" bestFit="1" customWidth="1"/>
    <col min="2" max="2" width="17" bestFit="1" customWidth="1"/>
    <col min="3" max="3" width="12" bestFit="1" customWidth="1"/>
  </cols>
  <sheetData>
    <row r="1" spans="1:3" x14ac:dyDescent="0.3">
      <c r="A1" t="s">
        <v>112</v>
      </c>
      <c r="B1" t="s">
        <v>113</v>
      </c>
      <c r="C1" t="s">
        <v>114</v>
      </c>
    </row>
    <row r="2" spans="1:3" x14ac:dyDescent="0.3">
      <c r="A2" t="s">
        <v>115</v>
      </c>
      <c r="B2">
        <v>2.67</v>
      </c>
      <c r="C2">
        <v>18</v>
      </c>
    </row>
    <row r="3" spans="1:3" x14ac:dyDescent="0.3">
      <c r="A3" t="s">
        <v>116</v>
      </c>
      <c r="B3">
        <v>2.4700000000000002</v>
      </c>
      <c r="C3">
        <v>15</v>
      </c>
    </row>
    <row r="4" spans="1:3" x14ac:dyDescent="0.3">
      <c r="A4" t="s">
        <v>117</v>
      </c>
      <c r="B4">
        <v>2.36</v>
      </c>
      <c r="C4">
        <v>22</v>
      </c>
    </row>
    <row r="5" spans="1:3" x14ac:dyDescent="0.3">
      <c r="A5" t="s">
        <v>118</v>
      </c>
      <c r="B5">
        <v>2.34</v>
      </c>
      <c r="C5">
        <v>18</v>
      </c>
    </row>
    <row r="6" spans="1:3" x14ac:dyDescent="0.3">
      <c r="A6" t="s">
        <v>119</v>
      </c>
      <c r="B6">
        <v>1.8</v>
      </c>
      <c r="C6">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C20A-8FB4-4B5B-8C46-F60CA9F03FF4}">
  <dimension ref="A1:C32"/>
  <sheetViews>
    <sheetView workbookViewId="0">
      <selection activeCell="A2" sqref="A2"/>
    </sheetView>
  </sheetViews>
  <sheetFormatPr defaultRowHeight="14.4" x14ac:dyDescent="0.3"/>
  <cols>
    <col min="1" max="1" width="6.21875" bestFit="1" customWidth="1"/>
    <col min="2" max="2" width="7" bestFit="1" customWidth="1"/>
    <col min="3" max="3" width="9" bestFit="1" customWidth="1"/>
  </cols>
  <sheetData>
    <row r="1" spans="1:3" x14ac:dyDescent="0.3">
      <c r="A1" t="s">
        <v>0</v>
      </c>
      <c r="B1" t="s">
        <v>120</v>
      </c>
      <c r="C1" t="s">
        <v>108</v>
      </c>
    </row>
    <row r="2" spans="1:3" x14ac:dyDescent="0.3">
      <c r="A2" t="s">
        <v>38</v>
      </c>
      <c r="B2">
        <v>105.2</v>
      </c>
      <c r="C2">
        <v>15539.76</v>
      </c>
    </row>
    <row r="3" spans="1:3" x14ac:dyDescent="0.3">
      <c r="A3" t="s">
        <v>39</v>
      </c>
      <c r="B3">
        <v>107.37</v>
      </c>
      <c r="C3">
        <v>3916.57</v>
      </c>
    </row>
    <row r="4" spans="1:3" x14ac:dyDescent="0.3">
      <c r="A4" t="s">
        <v>40</v>
      </c>
      <c r="B4">
        <v>99.54</v>
      </c>
      <c r="C4">
        <v>17248.41</v>
      </c>
    </row>
    <row r="5" spans="1:3" x14ac:dyDescent="0.3">
      <c r="A5" t="s">
        <v>41</v>
      </c>
      <c r="B5">
        <v>81.3</v>
      </c>
      <c r="C5">
        <v>2031.91</v>
      </c>
    </row>
    <row r="6" spans="1:3" x14ac:dyDescent="0.3">
      <c r="A6" t="s">
        <v>44</v>
      </c>
      <c r="B6">
        <v>87.12</v>
      </c>
      <c r="C6">
        <v>9473.0499999999993</v>
      </c>
    </row>
    <row r="7" spans="1:3" x14ac:dyDescent="0.3">
      <c r="A7" t="s">
        <v>48</v>
      </c>
      <c r="B7">
        <v>101.53</v>
      </c>
      <c r="C7">
        <v>1589.28</v>
      </c>
    </row>
    <row r="8" spans="1:3" x14ac:dyDescent="0.3">
      <c r="A8" t="s">
        <v>50</v>
      </c>
      <c r="B8">
        <v>80.510000000000005</v>
      </c>
      <c r="C8">
        <v>5546.86</v>
      </c>
    </row>
    <row r="9" spans="1:3" x14ac:dyDescent="0.3">
      <c r="A9" t="s">
        <v>52</v>
      </c>
      <c r="B9">
        <v>69.33</v>
      </c>
      <c r="C9">
        <v>875.2</v>
      </c>
    </row>
    <row r="10" spans="1:3" x14ac:dyDescent="0.3">
      <c r="A10" t="s">
        <v>54</v>
      </c>
      <c r="B10">
        <v>60.59</v>
      </c>
      <c r="C10">
        <v>2562.89</v>
      </c>
    </row>
    <row r="11" spans="1:3" x14ac:dyDescent="0.3">
      <c r="A11" t="s">
        <v>11</v>
      </c>
      <c r="B11">
        <v>62.93</v>
      </c>
      <c r="C11">
        <v>8479.43</v>
      </c>
    </row>
    <row r="12" spans="1:3" x14ac:dyDescent="0.3">
      <c r="A12" t="s">
        <v>35</v>
      </c>
      <c r="B12">
        <v>95.96</v>
      </c>
      <c r="C12">
        <v>4089.63</v>
      </c>
    </row>
    <row r="13" spans="1:3" x14ac:dyDescent="0.3">
      <c r="A13" t="s">
        <v>14</v>
      </c>
      <c r="B13">
        <v>103.95</v>
      </c>
      <c r="C13">
        <v>7108.07</v>
      </c>
    </row>
    <row r="14" spans="1:3" x14ac:dyDescent="0.3">
      <c r="A14" t="s">
        <v>65</v>
      </c>
      <c r="B14">
        <v>71.53</v>
      </c>
      <c r="C14">
        <v>739.29</v>
      </c>
    </row>
    <row r="15" spans="1:3" x14ac:dyDescent="0.3">
      <c r="A15" t="s">
        <v>4</v>
      </c>
      <c r="B15">
        <v>61.21</v>
      </c>
      <c r="C15">
        <v>188.69</v>
      </c>
    </row>
    <row r="16" spans="1:3" x14ac:dyDescent="0.3">
      <c r="A16" t="s">
        <v>16</v>
      </c>
      <c r="B16">
        <v>84.36</v>
      </c>
      <c r="C16">
        <v>7258.28</v>
      </c>
    </row>
    <row r="17" spans="1:3" x14ac:dyDescent="0.3">
      <c r="A17" t="s">
        <v>19</v>
      </c>
      <c r="B17">
        <v>76.94</v>
      </c>
      <c r="C17">
        <v>11105.81</v>
      </c>
    </row>
    <row r="18" spans="1:3" x14ac:dyDescent="0.3">
      <c r="A18" t="s">
        <v>75</v>
      </c>
      <c r="B18">
        <v>91.59</v>
      </c>
      <c r="C18">
        <v>6379.06</v>
      </c>
    </row>
    <row r="19" spans="1:3" x14ac:dyDescent="0.3">
      <c r="A19" t="s">
        <v>76</v>
      </c>
      <c r="B19">
        <v>87.73</v>
      </c>
      <c r="C19">
        <v>5999.63</v>
      </c>
    </row>
    <row r="20" spans="1:3" x14ac:dyDescent="0.3">
      <c r="A20" t="s">
        <v>82</v>
      </c>
      <c r="B20">
        <v>98.31</v>
      </c>
      <c r="C20">
        <v>6084.58</v>
      </c>
    </row>
    <row r="21" spans="1:3" x14ac:dyDescent="0.3">
      <c r="A21" t="s">
        <v>5</v>
      </c>
      <c r="B21">
        <v>101.81</v>
      </c>
      <c r="C21">
        <v>18198.46</v>
      </c>
    </row>
    <row r="22" spans="1:3" x14ac:dyDescent="0.3">
      <c r="A22" t="s">
        <v>87</v>
      </c>
      <c r="B22">
        <v>85.82</v>
      </c>
      <c r="C22">
        <v>2779.87</v>
      </c>
    </row>
    <row r="23" spans="1:3" x14ac:dyDescent="0.3">
      <c r="A23" t="s">
        <v>89</v>
      </c>
      <c r="B23">
        <v>71.38</v>
      </c>
      <c r="C23">
        <v>16583.84</v>
      </c>
    </row>
    <row r="24" spans="1:3" x14ac:dyDescent="0.3">
      <c r="A24" t="s">
        <v>90</v>
      </c>
      <c r="B24">
        <v>79.59</v>
      </c>
      <c r="C24">
        <v>5886.72</v>
      </c>
    </row>
    <row r="25" spans="1:3" x14ac:dyDescent="0.3">
      <c r="A25" t="s">
        <v>23</v>
      </c>
      <c r="B25">
        <v>64.37</v>
      </c>
      <c r="C25">
        <v>11232.92</v>
      </c>
    </row>
    <row r="26" spans="1:3" x14ac:dyDescent="0.3">
      <c r="A26" t="s">
        <v>25</v>
      </c>
      <c r="B26">
        <v>78.180000000000007</v>
      </c>
      <c r="C26">
        <v>1845.9</v>
      </c>
    </row>
    <row r="27" spans="1:3" x14ac:dyDescent="0.3">
      <c r="A27" t="s">
        <v>95</v>
      </c>
      <c r="B27">
        <v>76.06</v>
      </c>
      <c r="C27">
        <v>4383.53</v>
      </c>
    </row>
    <row r="28" spans="1:3" x14ac:dyDescent="0.3">
      <c r="A28" t="s">
        <v>98</v>
      </c>
      <c r="B28">
        <v>56.53</v>
      </c>
      <c r="C28">
        <v>13043.32</v>
      </c>
    </row>
    <row r="29" spans="1:3" x14ac:dyDescent="0.3">
      <c r="A29" t="s">
        <v>99</v>
      </c>
      <c r="B29">
        <v>93.35</v>
      </c>
      <c r="C29">
        <v>4348.8599999999997</v>
      </c>
    </row>
    <row r="30" spans="1:3" x14ac:dyDescent="0.3">
      <c r="A30" t="s">
        <v>101</v>
      </c>
      <c r="B30">
        <v>67.08</v>
      </c>
      <c r="C30">
        <v>13102.05</v>
      </c>
    </row>
    <row r="31" spans="1:3" x14ac:dyDescent="0.3">
      <c r="A31" t="s">
        <v>102</v>
      </c>
      <c r="B31">
        <v>67.33</v>
      </c>
      <c r="C31">
        <v>2930.87</v>
      </c>
    </row>
    <row r="32" spans="1:3" x14ac:dyDescent="0.3">
      <c r="A32" t="s">
        <v>105</v>
      </c>
      <c r="B32">
        <v>73.67</v>
      </c>
      <c r="C32">
        <v>144.94999999999999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FE2BE-E822-49A4-8CEB-1176022638B1}">
  <dimension ref="A1:C32"/>
  <sheetViews>
    <sheetView workbookViewId="0">
      <selection activeCell="I12" sqref="I12"/>
    </sheetView>
  </sheetViews>
  <sheetFormatPr defaultRowHeight="14.4" x14ac:dyDescent="0.3"/>
  <cols>
    <col min="1" max="1" width="6.21875" bestFit="1" customWidth="1"/>
    <col min="2" max="2" width="7.88671875" style="7" bestFit="1" customWidth="1"/>
    <col min="3" max="3" width="10.33203125" style="7" bestFit="1" customWidth="1"/>
  </cols>
  <sheetData>
    <row r="1" spans="1:3" x14ac:dyDescent="0.3">
      <c r="A1" s="1" t="s">
        <v>0</v>
      </c>
      <c r="B1" s="25" t="s">
        <v>120</v>
      </c>
      <c r="C1" s="26" t="s">
        <v>108</v>
      </c>
    </row>
    <row r="2" spans="1:3" x14ac:dyDescent="0.3">
      <c r="A2" s="22" t="s">
        <v>5</v>
      </c>
      <c r="B2" s="27">
        <v>101.81</v>
      </c>
      <c r="C2" s="28">
        <v>18198.46</v>
      </c>
    </row>
    <row r="3" spans="1:3" x14ac:dyDescent="0.3">
      <c r="A3" s="22" t="s">
        <v>40</v>
      </c>
      <c r="B3" s="27">
        <v>99.54</v>
      </c>
      <c r="C3" s="28">
        <v>17248.41</v>
      </c>
    </row>
    <row r="4" spans="1:3" x14ac:dyDescent="0.3">
      <c r="A4" s="22" t="s">
        <v>89</v>
      </c>
      <c r="B4" s="27">
        <v>71.38</v>
      </c>
      <c r="C4" s="28">
        <v>16583.84</v>
      </c>
    </row>
    <row r="5" spans="1:3" x14ac:dyDescent="0.3">
      <c r="A5" s="22" t="s">
        <v>38</v>
      </c>
      <c r="B5" s="27">
        <v>105.2</v>
      </c>
      <c r="C5" s="28">
        <v>15539.76</v>
      </c>
    </row>
    <row r="6" spans="1:3" x14ac:dyDescent="0.3">
      <c r="A6" s="22" t="s">
        <v>101</v>
      </c>
      <c r="B6" s="27">
        <v>67.08</v>
      </c>
      <c r="C6" s="28">
        <v>13102.05</v>
      </c>
    </row>
    <row r="7" spans="1:3" x14ac:dyDescent="0.3">
      <c r="A7" s="22" t="s">
        <v>98</v>
      </c>
      <c r="B7" s="27">
        <v>56.53</v>
      </c>
      <c r="C7" s="28">
        <v>13043.32</v>
      </c>
    </row>
    <row r="8" spans="1:3" x14ac:dyDescent="0.3">
      <c r="A8" s="22" t="s">
        <v>23</v>
      </c>
      <c r="B8" s="27">
        <v>64.37</v>
      </c>
      <c r="C8" s="28">
        <v>11232.92</v>
      </c>
    </row>
    <row r="9" spans="1:3" x14ac:dyDescent="0.3">
      <c r="A9" s="22" t="s">
        <v>19</v>
      </c>
      <c r="B9" s="27">
        <v>76.94</v>
      </c>
      <c r="C9" s="28">
        <v>11105.81</v>
      </c>
    </row>
    <row r="10" spans="1:3" x14ac:dyDescent="0.3">
      <c r="A10" s="22" t="s">
        <v>44</v>
      </c>
      <c r="B10" s="27">
        <v>87.12</v>
      </c>
      <c r="C10" s="28">
        <v>9473.0499999999993</v>
      </c>
    </row>
    <row r="11" spans="1:3" x14ac:dyDescent="0.3">
      <c r="A11" s="22" t="s">
        <v>11</v>
      </c>
      <c r="B11" s="27">
        <v>62.93</v>
      </c>
      <c r="C11" s="28">
        <v>8479.43</v>
      </c>
    </row>
    <row r="12" spans="1:3" x14ac:dyDescent="0.3">
      <c r="A12" s="22" t="s">
        <v>16</v>
      </c>
      <c r="B12" s="27">
        <v>84.36</v>
      </c>
      <c r="C12" s="28">
        <v>7258.28</v>
      </c>
    </row>
    <row r="13" spans="1:3" x14ac:dyDescent="0.3">
      <c r="A13" s="22" t="s">
        <v>14</v>
      </c>
      <c r="B13" s="27">
        <v>103.95</v>
      </c>
      <c r="C13" s="28">
        <v>7108.07</v>
      </c>
    </row>
    <row r="14" spans="1:3" x14ac:dyDescent="0.3">
      <c r="A14" s="22" t="s">
        <v>75</v>
      </c>
      <c r="B14" s="27">
        <v>91.59</v>
      </c>
      <c r="C14" s="28">
        <v>6379.06</v>
      </c>
    </row>
    <row r="15" spans="1:3" x14ac:dyDescent="0.3">
      <c r="A15" s="22" t="s">
        <v>82</v>
      </c>
      <c r="B15" s="27">
        <v>98.31</v>
      </c>
      <c r="C15" s="28">
        <v>6084.58</v>
      </c>
    </row>
    <row r="16" spans="1:3" x14ac:dyDescent="0.3">
      <c r="A16" s="22" t="s">
        <v>76</v>
      </c>
      <c r="B16" s="27">
        <v>87.73</v>
      </c>
      <c r="C16" s="28">
        <v>5999.63</v>
      </c>
    </row>
    <row r="17" spans="1:3" x14ac:dyDescent="0.3">
      <c r="A17" s="22" t="s">
        <v>90</v>
      </c>
      <c r="B17" s="27">
        <v>79.59</v>
      </c>
      <c r="C17" s="28">
        <v>5886.72</v>
      </c>
    </row>
    <row r="18" spans="1:3" x14ac:dyDescent="0.3">
      <c r="A18" s="22" t="s">
        <v>50</v>
      </c>
      <c r="B18" s="27">
        <v>80.510000000000005</v>
      </c>
      <c r="C18" s="28">
        <v>5546.86</v>
      </c>
    </row>
    <row r="19" spans="1:3" x14ac:dyDescent="0.3">
      <c r="A19" s="22" t="s">
        <v>95</v>
      </c>
      <c r="B19" s="27">
        <v>76.06</v>
      </c>
      <c r="C19" s="28">
        <v>4383.53</v>
      </c>
    </row>
    <row r="20" spans="1:3" x14ac:dyDescent="0.3">
      <c r="A20" s="22" t="s">
        <v>99</v>
      </c>
      <c r="B20" s="27">
        <v>93.35</v>
      </c>
      <c r="C20" s="28">
        <v>4348.8599999999997</v>
      </c>
    </row>
    <row r="21" spans="1:3" x14ac:dyDescent="0.3">
      <c r="A21" s="22" t="s">
        <v>35</v>
      </c>
      <c r="B21" s="27">
        <v>95.96</v>
      </c>
      <c r="C21" s="28">
        <v>4089.63</v>
      </c>
    </row>
    <row r="22" spans="1:3" x14ac:dyDescent="0.3">
      <c r="A22" s="22" t="s">
        <v>39</v>
      </c>
      <c r="B22" s="27">
        <v>107.37</v>
      </c>
      <c r="C22" s="28">
        <v>3916.57</v>
      </c>
    </row>
    <row r="23" spans="1:3" x14ac:dyDescent="0.3">
      <c r="A23" s="22" t="s">
        <v>102</v>
      </c>
      <c r="B23" s="27">
        <v>67.33</v>
      </c>
      <c r="C23" s="28">
        <v>2930.87</v>
      </c>
    </row>
    <row r="24" spans="1:3" x14ac:dyDescent="0.3">
      <c r="A24" s="22" t="s">
        <v>87</v>
      </c>
      <c r="B24" s="27">
        <v>85.82</v>
      </c>
      <c r="C24" s="28">
        <v>2779.87</v>
      </c>
    </row>
    <row r="25" spans="1:3" x14ac:dyDescent="0.3">
      <c r="A25" s="22" t="s">
        <v>54</v>
      </c>
      <c r="B25" s="27">
        <v>60.59</v>
      </c>
      <c r="C25" s="28">
        <v>2562.89</v>
      </c>
    </row>
    <row r="26" spans="1:3" x14ac:dyDescent="0.3">
      <c r="A26" s="22" t="s">
        <v>41</v>
      </c>
      <c r="B26" s="27">
        <v>81.3</v>
      </c>
      <c r="C26" s="28">
        <v>2031.91</v>
      </c>
    </row>
    <row r="27" spans="1:3" x14ac:dyDescent="0.3">
      <c r="A27" s="22" t="s">
        <v>25</v>
      </c>
      <c r="B27" s="27">
        <v>78.180000000000007</v>
      </c>
      <c r="C27" s="28">
        <v>1845.9</v>
      </c>
    </row>
    <row r="28" spans="1:3" x14ac:dyDescent="0.3">
      <c r="A28" s="22" t="s">
        <v>48</v>
      </c>
      <c r="B28" s="27">
        <v>101.53</v>
      </c>
      <c r="C28" s="28">
        <v>1589.28</v>
      </c>
    </row>
    <row r="29" spans="1:3" x14ac:dyDescent="0.3">
      <c r="A29" s="22" t="s">
        <v>52</v>
      </c>
      <c r="B29" s="27">
        <v>69.33</v>
      </c>
      <c r="C29" s="28">
        <v>875.2</v>
      </c>
    </row>
    <row r="30" spans="1:3" x14ac:dyDescent="0.3">
      <c r="A30" s="22" t="s">
        <v>65</v>
      </c>
      <c r="B30" s="27">
        <v>71.53</v>
      </c>
      <c r="C30" s="28">
        <v>739.29</v>
      </c>
    </row>
    <row r="31" spans="1:3" x14ac:dyDescent="0.3">
      <c r="A31" s="22" t="s">
        <v>4</v>
      </c>
      <c r="B31" s="27">
        <v>61.21</v>
      </c>
      <c r="C31" s="28">
        <v>188.69</v>
      </c>
    </row>
    <row r="32" spans="1:3" x14ac:dyDescent="0.3">
      <c r="A32" s="23" t="s">
        <v>105</v>
      </c>
      <c r="B32" s="29">
        <v>73.67</v>
      </c>
      <c r="C32" s="30">
        <v>144.94999999999999</v>
      </c>
    </row>
  </sheetData>
  <autoFilter ref="A1:C1" xr:uid="{A55FE2BE-E822-49A4-8CEB-1176022638B1}">
    <sortState xmlns:xlrd2="http://schemas.microsoft.com/office/spreadsheetml/2017/richdata2" ref="A2:C32">
      <sortCondition descending="1" ref="C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D1FA-2BAE-4E3B-B211-EB8050FF7513}">
  <dimension ref="A1:V101"/>
  <sheetViews>
    <sheetView workbookViewId="0">
      <selection activeCell="O3" sqref="O3"/>
    </sheetView>
  </sheetViews>
  <sheetFormatPr defaultRowHeight="14.4" x14ac:dyDescent="0.3"/>
  <cols>
    <col min="1" max="1" width="6.21875" bestFit="1" customWidth="1"/>
    <col min="2" max="2" width="12.77734375" bestFit="1" customWidth="1"/>
    <col min="3" max="3" width="11.5546875" bestFit="1" customWidth="1"/>
    <col min="4" max="5" width="18.5546875" bestFit="1" customWidth="1"/>
    <col min="9" max="9" width="16.88671875" style="6" bestFit="1" customWidth="1"/>
    <col min="10" max="10" width="16.44140625" customWidth="1"/>
    <col min="11" max="11" width="13.44140625" bestFit="1" customWidth="1"/>
    <col min="12" max="13" width="13.44140625" customWidth="1"/>
    <col min="15" max="15" width="18.44140625" bestFit="1" customWidth="1"/>
    <col min="21" max="21" width="10.33203125" bestFit="1" customWidth="1"/>
  </cols>
  <sheetData>
    <row r="1" spans="1:22" x14ac:dyDescent="0.3">
      <c r="A1" t="s">
        <v>0</v>
      </c>
      <c r="B1" t="s">
        <v>27</v>
      </c>
      <c r="C1" t="s">
        <v>28</v>
      </c>
      <c r="D1" t="s">
        <v>29</v>
      </c>
      <c r="E1" t="s">
        <v>130</v>
      </c>
      <c r="F1" t="s">
        <v>131</v>
      </c>
      <c r="J1" s="1" t="s">
        <v>143</v>
      </c>
      <c r="K1" s="2" t="s">
        <v>144</v>
      </c>
      <c r="L1" s="1" t="s">
        <v>145</v>
      </c>
      <c r="M1" s="16" t="s">
        <v>146</v>
      </c>
      <c r="O1" s="8" t="s">
        <v>130</v>
      </c>
      <c r="P1" s="14" t="s">
        <v>131</v>
      </c>
    </row>
    <row r="2" spans="1:22" x14ac:dyDescent="0.3">
      <c r="A2" t="s">
        <v>30</v>
      </c>
      <c r="B2">
        <v>55936.78</v>
      </c>
      <c r="C2">
        <v>9.06</v>
      </c>
      <c r="D2" t="s">
        <v>31</v>
      </c>
      <c r="E2" t="str" cm="1">
        <f t="array" ref="E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2" t="str">
        <f>_xlfn.XLOOKUP(risk_tolerance[[#This Row],[quadrant]],$O$1:$O$5,$P$1:$P$5,"N/A",0)</f>
        <v>Scale</v>
      </c>
      <c r="J2" s="19">
        <f>AVERAGE(risk_tolerance[total_profit])</f>
        <v>22802.684799999999</v>
      </c>
      <c r="K2" s="3">
        <f>AVERAGE(risk_tolerance[risk_score])</f>
        <v>92.187999999999974</v>
      </c>
      <c r="L2" s="19">
        <f>SUM(risk_tolerance[total_profit])</f>
        <v>2280268.48</v>
      </c>
      <c r="M2" s="17">
        <f>COUNTA(risk_tolerance[sku])</f>
        <v>100</v>
      </c>
      <c r="N2" s="9"/>
      <c r="O2" t="s">
        <v>31</v>
      </c>
      <c r="P2" s="11" t="s">
        <v>132</v>
      </c>
    </row>
    <row r="3" spans="1:22" x14ac:dyDescent="0.3">
      <c r="A3" t="s">
        <v>3</v>
      </c>
      <c r="B3">
        <v>10881.5</v>
      </c>
      <c r="C3">
        <v>266.97000000000003</v>
      </c>
      <c r="D3" t="s">
        <v>32</v>
      </c>
      <c r="E3" t="str" cm="1">
        <f t="array" ref="E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3" t="str">
        <f>_xlfn.XLOOKUP(risk_tolerance[[#This Row],[quadrant]],$O$1:$O$5,$P$1:$P$5,"N/A",0)</f>
        <v>Drop</v>
      </c>
      <c r="N3" s="11"/>
      <c r="O3" t="s">
        <v>32</v>
      </c>
      <c r="P3" s="11" t="s">
        <v>133</v>
      </c>
    </row>
    <row r="4" spans="1:22" x14ac:dyDescent="0.3">
      <c r="A4" t="s">
        <v>33</v>
      </c>
      <c r="B4">
        <v>51.81</v>
      </c>
      <c r="C4">
        <v>109.93</v>
      </c>
      <c r="D4" t="s">
        <v>32</v>
      </c>
      <c r="E4" t="str" cm="1">
        <f t="array" ref="E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4" t="str">
        <f>_xlfn.XLOOKUP(risk_tolerance[[#This Row],[quadrant]],$O$1:$O$5,$P$1:$P$5,"N/A",0)</f>
        <v>Drop</v>
      </c>
      <c r="N4" s="11"/>
      <c r="O4" t="s">
        <v>134</v>
      </c>
      <c r="P4" s="11" t="s">
        <v>135</v>
      </c>
    </row>
    <row r="5" spans="1:22" x14ac:dyDescent="0.3">
      <c r="A5" t="s">
        <v>34</v>
      </c>
      <c r="B5">
        <v>5039.2</v>
      </c>
      <c r="C5">
        <v>204.11</v>
      </c>
      <c r="D5" t="s">
        <v>32</v>
      </c>
      <c r="E5" t="str" cm="1">
        <f t="array" ref="E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 t="str">
        <f>_xlfn.XLOOKUP(risk_tolerance[[#This Row],[quadrant]],$O$1:$O$5,$P$1:$P$5,"N/A",0)</f>
        <v>Drop</v>
      </c>
      <c r="N5" s="11"/>
      <c r="O5" s="12" t="s">
        <v>136</v>
      </c>
      <c r="P5" s="13" t="s">
        <v>137</v>
      </c>
      <c r="V5" s="7"/>
    </row>
    <row r="6" spans="1:22" x14ac:dyDescent="0.3">
      <c r="A6" t="s">
        <v>35</v>
      </c>
      <c r="B6">
        <v>4089.63</v>
      </c>
      <c r="C6">
        <v>50.33</v>
      </c>
      <c r="D6" t="s">
        <v>31</v>
      </c>
      <c r="E6" t="str" cm="1">
        <f t="array" ref="E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6" t="str">
        <f>_xlfn.XLOOKUP(risk_tolerance[[#This Row],[quadrant]],$O$1:$O$5,$P$1:$P$5,"N/A",0)</f>
        <v>Drop</v>
      </c>
    </row>
    <row r="7" spans="1:22" x14ac:dyDescent="0.3">
      <c r="A7" t="s">
        <v>4</v>
      </c>
      <c r="B7">
        <v>188.69</v>
      </c>
      <c r="C7">
        <v>111.17</v>
      </c>
      <c r="D7" t="s">
        <v>32</v>
      </c>
      <c r="E7" t="str" cm="1">
        <f t="array" ref="E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7" t="str">
        <f>_xlfn.XLOOKUP(risk_tolerance[[#This Row],[quadrant]],$O$1:$O$5,$P$1:$P$5,"N/A",0)</f>
        <v>Drop</v>
      </c>
    </row>
    <row r="8" spans="1:22" x14ac:dyDescent="0.3">
      <c r="A8" t="s">
        <v>36</v>
      </c>
      <c r="B8">
        <v>260.13</v>
      </c>
      <c r="C8">
        <v>37.03</v>
      </c>
      <c r="D8" t="s">
        <v>31</v>
      </c>
      <c r="E8" t="str" cm="1">
        <f t="array" ref="E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8" t="str">
        <f>_xlfn.XLOOKUP(risk_tolerance[[#This Row],[quadrant]],$O$1:$O$5,$P$1:$P$5,"N/A",0)</f>
        <v>Optimize</v>
      </c>
    </row>
    <row r="9" spans="1:22" x14ac:dyDescent="0.3">
      <c r="A9" t="s">
        <v>5</v>
      </c>
      <c r="B9">
        <v>18198.46</v>
      </c>
      <c r="C9">
        <v>15.93</v>
      </c>
      <c r="D9" t="s">
        <v>31</v>
      </c>
      <c r="E9" t="str" cm="1">
        <f t="array" ref="E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9" t="str">
        <f>_xlfn.XLOOKUP(risk_tolerance[[#This Row],[quadrant]],$O$1:$O$5,$P$1:$P$5,"N/A",0)</f>
        <v>Scale</v>
      </c>
    </row>
    <row r="10" spans="1:22" x14ac:dyDescent="0.3">
      <c r="A10" t="s">
        <v>37</v>
      </c>
      <c r="B10">
        <v>10292.81</v>
      </c>
      <c r="C10">
        <v>81.3</v>
      </c>
      <c r="D10" t="s">
        <v>31</v>
      </c>
      <c r="E10" t="str" cm="1">
        <f t="array" ref="E1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10" t="str">
        <f>_xlfn.XLOOKUP(risk_tolerance[[#This Row],[quadrant]],$O$1:$O$5,$P$1:$P$5,"N/A",0)</f>
        <v>Drop</v>
      </c>
    </row>
    <row r="11" spans="1:22" x14ac:dyDescent="0.3">
      <c r="A11" t="s">
        <v>6</v>
      </c>
      <c r="B11">
        <v>62680.29</v>
      </c>
      <c r="C11">
        <v>219.14</v>
      </c>
      <c r="D11" t="s">
        <v>32</v>
      </c>
      <c r="E11" t="str" cm="1">
        <f t="array" ref="E1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11" t="str">
        <f>_xlfn.XLOOKUP(risk_tolerance[[#This Row],[quadrant]],$O$1:$O$5,$P$1:$P$5,"N/A",0)</f>
        <v>Monitor</v>
      </c>
    </row>
    <row r="12" spans="1:22" x14ac:dyDescent="0.3">
      <c r="A12" t="s">
        <v>38</v>
      </c>
      <c r="B12">
        <v>15539.76</v>
      </c>
      <c r="C12">
        <v>57</v>
      </c>
      <c r="D12" t="s">
        <v>31</v>
      </c>
      <c r="E12" t="str" cm="1">
        <f t="array" ref="E1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12" t="str">
        <f>_xlfn.XLOOKUP(risk_tolerance[[#This Row],[quadrant]],$O$1:$O$5,$P$1:$P$5,"N/A",0)</f>
        <v>Monitor</v>
      </c>
    </row>
    <row r="13" spans="1:22" x14ac:dyDescent="0.3">
      <c r="A13" t="s">
        <v>7</v>
      </c>
      <c r="B13">
        <v>86977.93</v>
      </c>
      <c r="C13">
        <v>1.1000000000000001</v>
      </c>
      <c r="D13" t="s">
        <v>31</v>
      </c>
      <c r="E13" t="str" cm="1">
        <f t="array" ref="E1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13" t="str">
        <f>_xlfn.XLOOKUP(risk_tolerance[[#This Row],[quadrant]],$O$1:$O$5,$P$1:$P$5,"N/A",0)</f>
        <v>Scale</v>
      </c>
    </row>
    <row r="14" spans="1:22" x14ac:dyDescent="0.3">
      <c r="A14" t="s">
        <v>8</v>
      </c>
      <c r="B14">
        <v>23894.05</v>
      </c>
      <c r="C14">
        <v>79.97</v>
      </c>
      <c r="D14" t="s">
        <v>31</v>
      </c>
      <c r="E14" t="str" cm="1">
        <f t="array" ref="E1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14" t="str">
        <f>_xlfn.XLOOKUP(risk_tolerance[[#This Row],[quadrant]],$O$1:$O$5,$P$1:$P$5,"N/A",0)</f>
        <v>Monitor</v>
      </c>
    </row>
    <row r="15" spans="1:22" x14ac:dyDescent="0.3">
      <c r="A15" t="s">
        <v>39</v>
      </c>
      <c r="B15">
        <v>3916.57</v>
      </c>
      <c r="C15">
        <v>65.239999999999995</v>
      </c>
      <c r="D15" t="s">
        <v>31</v>
      </c>
      <c r="E15" t="str" cm="1">
        <f t="array" ref="E1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15" t="str">
        <f>_xlfn.XLOOKUP(risk_tolerance[[#This Row],[quadrant]],$O$1:$O$5,$P$1:$P$5,"N/A",0)</f>
        <v>Drop</v>
      </c>
    </row>
    <row r="16" spans="1:22" x14ac:dyDescent="0.3">
      <c r="A16" t="s">
        <v>9</v>
      </c>
      <c r="B16">
        <v>55726.46</v>
      </c>
      <c r="C16">
        <v>5.94</v>
      </c>
      <c r="D16" t="s">
        <v>31</v>
      </c>
      <c r="E16" t="str" cm="1">
        <f t="array" ref="E1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16" t="str">
        <f>_xlfn.XLOOKUP(risk_tolerance[[#This Row],[quadrant]],$O$1:$O$5,$P$1:$P$5,"N/A",0)</f>
        <v>Scale</v>
      </c>
    </row>
    <row r="17" spans="1:6" x14ac:dyDescent="0.3">
      <c r="A17" t="s">
        <v>40</v>
      </c>
      <c r="B17">
        <v>17248.41</v>
      </c>
      <c r="C17">
        <v>65.67</v>
      </c>
      <c r="D17" t="s">
        <v>31</v>
      </c>
      <c r="E17" t="str" cm="1">
        <f t="array" ref="E1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17" t="str">
        <f>_xlfn.XLOOKUP(risk_tolerance[[#This Row],[quadrant]],$O$1:$O$5,$P$1:$P$5,"N/A",0)</f>
        <v>Monitor</v>
      </c>
    </row>
    <row r="18" spans="1:6" x14ac:dyDescent="0.3">
      <c r="A18" t="s">
        <v>41</v>
      </c>
      <c r="B18">
        <v>2031.91</v>
      </c>
      <c r="C18">
        <v>9.11</v>
      </c>
      <c r="D18" t="s">
        <v>31</v>
      </c>
      <c r="E18" t="str" cm="1">
        <f t="array" ref="E1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18" t="str">
        <f>_xlfn.XLOOKUP(risk_tolerance[[#This Row],[quadrant]],$O$1:$O$5,$P$1:$P$5,"N/A",0)</f>
        <v>Optimize</v>
      </c>
    </row>
    <row r="19" spans="1:6" x14ac:dyDescent="0.3">
      <c r="A19" t="s">
        <v>42</v>
      </c>
      <c r="B19">
        <v>10213.01</v>
      </c>
      <c r="C19">
        <v>3.37</v>
      </c>
      <c r="D19" t="s">
        <v>31</v>
      </c>
      <c r="E19" t="str" cm="1">
        <f t="array" ref="E1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19" t="str">
        <f>_xlfn.XLOOKUP(risk_tolerance[[#This Row],[quadrant]],$O$1:$O$5,$P$1:$P$5,"N/A",0)</f>
        <v>Optimize</v>
      </c>
    </row>
    <row r="20" spans="1:6" x14ac:dyDescent="0.3">
      <c r="A20" t="s">
        <v>43</v>
      </c>
      <c r="B20">
        <v>22563.599999999999</v>
      </c>
      <c r="C20">
        <v>80.349999999999994</v>
      </c>
      <c r="D20" t="s">
        <v>31</v>
      </c>
      <c r="E20" t="str" cm="1">
        <f t="array" ref="E2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20" t="str">
        <f>_xlfn.XLOOKUP(risk_tolerance[[#This Row],[quadrant]],$O$1:$O$5,$P$1:$P$5,"N/A",0)</f>
        <v>Monitor</v>
      </c>
    </row>
    <row r="21" spans="1:6" x14ac:dyDescent="0.3">
      <c r="A21" t="s">
        <v>44</v>
      </c>
      <c r="B21">
        <v>9473.0499999999993</v>
      </c>
      <c r="C21">
        <v>123.98</v>
      </c>
      <c r="D21" t="s">
        <v>32</v>
      </c>
      <c r="E21" t="str" cm="1">
        <f t="array" ref="E2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21" t="str">
        <f>_xlfn.XLOOKUP(risk_tolerance[[#This Row],[quadrant]],$O$1:$O$5,$P$1:$P$5,"N/A",0)</f>
        <v>Drop</v>
      </c>
    </row>
    <row r="22" spans="1:6" x14ac:dyDescent="0.3">
      <c r="A22" t="s">
        <v>45</v>
      </c>
      <c r="B22">
        <v>30754.58</v>
      </c>
      <c r="C22">
        <v>198.88</v>
      </c>
      <c r="D22" t="s">
        <v>32</v>
      </c>
      <c r="E22" t="str" cm="1">
        <f t="array" ref="E2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22" t="str">
        <f>_xlfn.XLOOKUP(risk_tolerance[[#This Row],[quadrant]],$O$1:$O$5,$P$1:$P$5,"N/A",0)</f>
        <v>Monitor</v>
      </c>
    </row>
    <row r="23" spans="1:6" x14ac:dyDescent="0.3">
      <c r="A23" t="s">
        <v>46</v>
      </c>
      <c r="B23">
        <v>50953.440000000002</v>
      </c>
      <c r="C23">
        <v>0.93</v>
      </c>
      <c r="D23" t="s">
        <v>31</v>
      </c>
      <c r="E23" t="str" cm="1">
        <f t="array" ref="E2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23" t="str">
        <f>_xlfn.XLOOKUP(risk_tolerance[[#This Row],[quadrant]],$O$1:$O$5,$P$1:$P$5,"N/A",0)</f>
        <v>Scale</v>
      </c>
    </row>
    <row r="24" spans="1:6" x14ac:dyDescent="0.3">
      <c r="A24" t="s">
        <v>47</v>
      </c>
      <c r="B24">
        <v>24409.24</v>
      </c>
      <c r="C24">
        <v>85.51</v>
      </c>
      <c r="D24" t="s">
        <v>31</v>
      </c>
      <c r="E24" t="str" cm="1">
        <f t="array" ref="E2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24" t="str">
        <f>_xlfn.XLOOKUP(risk_tolerance[[#This Row],[quadrant]],$O$1:$O$5,$P$1:$P$5,"N/A",0)</f>
        <v>Monitor</v>
      </c>
    </row>
    <row r="25" spans="1:6" x14ac:dyDescent="0.3">
      <c r="A25" t="s">
        <v>48</v>
      </c>
      <c r="B25">
        <v>1589.28</v>
      </c>
      <c r="C25">
        <v>30.87</v>
      </c>
      <c r="D25" t="s">
        <v>31</v>
      </c>
      <c r="E25" t="str" cm="1">
        <f t="array" ref="E2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25" t="str">
        <f>_xlfn.XLOOKUP(risk_tolerance[[#This Row],[quadrant]],$O$1:$O$5,$P$1:$P$5,"N/A",0)</f>
        <v>Optimize</v>
      </c>
    </row>
    <row r="26" spans="1:6" x14ac:dyDescent="0.3">
      <c r="A26" t="s">
        <v>49</v>
      </c>
      <c r="B26">
        <v>818.54</v>
      </c>
      <c r="C26">
        <v>228.86</v>
      </c>
      <c r="D26" t="s">
        <v>32</v>
      </c>
      <c r="E26" t="str" cm="1">
        <f t="array" ref="E2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26" t="str">
        <f>_xlfn.XLOOKUP(risk_tolerance[[#This Row],[quadrant]],$O$1:$O$5,$P$1:$P$5,"N/A",0)</f>
        <v>Drop</v>
      </c>
    </row>
    <row r="27" spans="1:6" x14ac:dyDescent="0.3">
      <c r="A27" t="s">
        <v>50</v>
      </c>
      <c r="B27">
        <v>5546.86</v>
      </c>
      <c r="C27">
        <v>125.31</v>
      </c>
      <c r="D27" t="s">
        <v>32</v>
      </c>
      <c r="E27" t="str" cm="1">
        <f t="array" ref="E2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27" t="str">
        <f>_xlfn.XLOOKUP(risk_tolerance[[#This Row],[quadrant]],$O$1:$O$5,$P$1:$P$5,"N/A",0)</f>
        <v>Drop</v>
      </c>
    </row>
    <row r="28" spans="1:6" x14ac:dyDescent="0.3">
      <c r="A28" t="s">
        <v>10</v>
      </c>
      <c r="B28">
        <v>34376.29</v>
      </c>
      <c r="C28">
        <v>97.49</v>
      </c>
      <c r="D28" t="s">
        <v>32</v>
      </c>
      <c r="E28" t="str" cm="1">
        <f t="array" ref="E2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28" t="str">
        <f>_xlfn.XLOOKUP(risk_tolerance[[#This Row],[quadrant]],$O$1:$O$5,$P$1:$P$5,"N/A",0)</f>
        <v>Monitor</v>
      </c>
    </row>
    <row r="29" spans="1:6" x14ac:dyDescent="0.3">
      <c r="A29" t="s">
        <v>51</v>
      </c>
      <c r="B29">
        <v>32562.26</v>
      </c>
      <c r="C29">
        <v>120.32</v>
      </c>
      <c r="D29" t="s">
        <v>32</v>
      </c>
      <c r="E29" t="str" cm="1">
        <f t="array" ref="E2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29" t="str">
        <f>_xlfn.XLOOKUP(risk_tolerance[[#This Row],[quadrant]],$O$1:$O$5,$P$1:$P$5,"N/A",0)</f>
        <v>Monitor</v>
      </c>
    </row>
    <row r="30" spans="1:6" x14ac:dyDescent="0.3">
      <c r="A30" t="s">
        <v>52</v>
      </c>
      <c r="B30">
        <v>875.2</v>
      </c>
      <c r="C30">
        <v>26.1</v>
      </c>
      <c r="D30" t="s">
        <v>31</v>
      </c>
      <c r="E30" t="str" cm="1">
        <f t="array" ref="E3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30" t="str">
        <f>_xlfn.XLOOKUP(risk_tolerance[[#This Row],[quadrant]],$O$1:$O$5,$P$1:$P$5,"N/A",0)</f>
        <v>Optimize</v>
      </c>
    </row>
    <row r="31" spans="1:6" x14ac:dyDescent="0.3">
      <c r="A31" t="s">
        <v>53</v>
      </c>
      <c r="B31">
        <v>16004.84</v>
      </c>
      <c r="C31">
        <v>108.59</v>
      </c>
      <c r="D31" t="s">
        <v>32</v>
      </c>
      <c r="E31" t="str" cm="1">
        <f t="array" ref="E3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31" t="str">
        <f>_xlfn.XLOOKUP(risk_tolerance[[#This Row],[quadrant]],$O$1:$O$5,$P$1:$P$5,"N/A",0)</f>
        <v>Monitor</v>
      </c>
    </row>
    <row r="32" spans="1:6" x14ac:dyDescent="0.3">
      <c r="A32" t="s">
        <v>54</v>
      </c>
      <c r="B32">
        <v>2562.89</v>
      </c>
      <c r="C32">
        <v>57.92</v>
      </c>
      <c r="D32" t="s">
        <v>31</v>
      </c>
      <c r="E32" t="str" cm="1">
        <f t="array" ref="E3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32" t="str">
        <f>_xlfn.XLOOKUP(risk_tolerance[[#This Row],[quadrant]],$O$1:$O$5,$P$1:$P$5,"N/A",0)</f>
        <v>Drop</v>
      </c>
    </row>
    <row r="33" spans="1:6" x14ac:dyDescent="0.3">
      <c r="A33" t="s">
        <v>11</v>
      </c>
      <c r="B33">
        <v>8479.43</v>
      </c>
      <c r="C33">
        <v>134.51</v>
      </c>
      <c r="D33" t="s">
        <v>32</v>
      </c>
      <c r="E33" t="str" cm="1">
        <f t="array" ref="E3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33" t="str">
        <f>_xlfn.XLOOKUP(risk_tolerance[[#This Row],[quadrant]],$O$1:$O$5,$P$1:$P$5,"N/A",0)</f>
        <v>Drop</v>
      </c>
    </row>
    <row r="34" spans="1:6" x14ac:dyDescent="0.3">
      <c r="A34" t="s">
        <v>55</v>
      </c>
      <c r="B34">
        <v>61826.67</v>
      </c>
      <c r="C34">
        <v>91.46</v>
      </c>
      <c r="D34" t="s">
        <v>31</v>
      </c>
      <c r="E34" t="str" cm="1">
        <f t="array" ref="E3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34" t="str">
        <f>_xlfn.XLOOKUP(risk_tolerance[[#This Row],[quadrant]],$O$1:$O$5,$P$1:$P$5,"N/A",0)</f>
        <v>Monitor</v>
      </c>
    </row>
    <row r="35" spans="1:6" x14ac:dyDescent="0.3">
      <c r="A35" t="s">
        <v>56</v>
      </c>
      <c r="B35">
        <v>39885.279999999999</v>
      </c>
      <c r="C35">
        <v>95.61</v>
      </c>
      <c r="D35" t="s">
        <v>32</v>
      </c>
      <c r="E35" t="str" cm="1">
        <f t="array" ref="E3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35" t="str">
        <f>_xlfn.XLOOKUP(risk_tolerance[[#This Row],[quadrant]],$O$1:$O$5,$P$1:$P$5,"N/A",0)</f>
        <v>Monitor</v>
      </c>
    </row>
    <row r="36" spans="1:6" x14ac:dyDescent="0.3">
      <c r="A36" t="s">
        <v>57</v>
      </c>
      <c r="B36">
        <v>22543.72</v>
      </c>
      <c r="C36">
        <v>23.92</v>
      </c>
      <c r="D36" t="s">
        <v>31</v>
      </c>
      <c r="E36" t="str" cm="1">
        <f t="array" ref="E3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36" t="str">
        <f>_xlfn.XLOOKUP(risk_tolerance[[#This Row],[quadrant]],$O$1:$O$5,$P$1:$P$5,"N/A",0)</f>
        <v>Scale</v>
      </c>
    </row>
    <row r="37" spans="1:6" x14ac:dyDescent="0.3">
      <c r="A37" t="s">
        <v>58</v>
      </c>
      <c r="B37">
        <v>38082.75</v>
      </c>
      <c r="C37">
        <v>20.56</v>
      </c>
      <c r="D37" t="s">
        <v>31</v>
      </c>
      <c r="E37" t="str" cm="1">
        <f t="array" ref="E3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37" t="str">
        <f>_xlfn.XLOOKUP(risk_tolerance[[#This Row],[quadrant]],$O$1:$O$5,$P$1:$P$5,"N/A",0)</f>
        <v>Scale</v>
      </c>
    </row>
    <row r="38" spans="1:6" x14ac:dyDescent="0.3">
      <c r="A38" t="s">
        <v>12</v>
      </c>
      <c r="B38">
        <v>9402.2800000000007</v>
      </c>
      <c r="C38">
        <v>197.89</v>
      </c>
      <c r="D38" t="s">
        <v>32</v>
      </c>
      <c r="E38" t="str" cm="1">
        <f t="array" ref="E3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38" t="str">
        <f>_xlfn.XLOOKUP(risk_tolerance[[#This Row],[quadrant]],$O$1:$O$5,$P$1:$P$5,"N/A",0)</f>
        <v>Drop</v>
      </c>
    </row>
    <row r="39" spans="1:6" x14ac:dyDescent="0.3">
      <c r="A39" t="s">
        <v>59</v>
      </c>
      <c r="B39">
        <v>22498.17</v>
      </c>
      <c r="C39">
        <v>107.02</v>
      </c>
      <c r="D39" t="s">
        <v>32</v>
      </c>
      <c r="E39" t="str" cm="1">
        <f t="array" ref="E3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39" t="str">
        <f>_xlfn.XLOOKUP(risk_tolerance[[#This Row],[quadrant]],$O$1:$O$5,$P$1:$P$5,"N/A",0)</f>
        <v>Monitor</v>
      </c>
    </row>
    <row r="40" spans="1:6" x14ac:dyDescent="0.3">
      <c r="A40" t="s">
        <v>60</v>
      </c>
      <c r="B40">
        <v>36698.36</v>
      </c>
      <c r="C40">
        <v>9.81</v>
      </c>
      <c r="D40" t="s">
        <v>31</v>
      </c>
      <c r="E40" t="str" cm="1">
        <f t="array" ref="E4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40" t="str">
        <f>_xlfn.XLOOKUP(risk_tolerance[[#This Row],[quadrant]],$O$1:$O$5,$P$1:$P$5,"N/A",0)</f>
        <v>Scale</v>
      </c>
    </row>
    <row r="41" spans="1:6" x14ac:dyDescent="0.3">
      <c r="A41" t="s">
        <v>13</v>
      </c>
      <c r="B41">
        <v>3351.87</v>
      </c>
      <c r="C41">
        <v>90.02</v>
      </c>
      <c r="D41" t="s">
        <v>31</v>
      </c>
      <c r="E41" t="str" cm="1">
        <f t="array" ref="E4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41" t="str">
        <f>_xlfn.XLOOKUP(risk_tolerance[[#This Row],[quadrant]],$O$1:$O$5,$P$1:$P$5,"N/A",0)</f>
        <v>Drop</v>
      </c>
    </row>
    <row r="42" spans="1:6" x14ac:dyDescent="0.3">
      <c r="A42" t="s">
        <v>61</v>
      </c>
      <c r="B42">
        <v>75049.740000000005</v>
      </c>
      <c r="C42">
        <v>193.81</v>
      </c>
      <c r="D42" t="s">
        <v>32</v>
      </c>
      <c r="E42" t="str" cm="1">
        <f t="array" ref="E4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42" t="str">
        <f>_xlfn.XLOOKUP(risk_tolerance[[#This Row],[quadrant]],$O$1:$O$5,$P$1:$P$5,"N/A",0)</f>
        <v>Monitor</v>
      </c>
    </row>
    <row r="43" spans="1:6" x14ac:dyDescent="0.3">
      <c r="A43" t="s">
        <v>62</v>
      </c>
      <c r="B43">
        <v>55005.88</v>
      </c>
      <c r="C43">
        <v>2.04</v>
      </c>
      <c r="D43" t="s">
        <v>31</v>
      </c>
      <c r="E43" t="str" cm="1">
        <f t="array" ref="E4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43" t="str">
        <f>_xlfn.XLOOKUP(risk_tolerance[[#This Row],[quadrant]],$O$1:$O$5,$P$1:$P$5,"N/A",0)</f>
        <v>Scale</v>
      </c>
    </row>
    <row r="44" spans="1:6" x14ac:dyDescent="0.3">
      <c r="A44" t="s">
        <v>14</v>
      </c>
      <c r="B44">
        <v>7108.07</v>
      </c>
      <c r="C44">
        <v>281.54000000000002</v>
      </c>
      <c r="D44" t="s">
        <v>32</v>
      </c>
      <c r="E44" t="str" cm="1">
        <f t="array" ref="E4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44" t="str">
        <f>_xlfn.XLOOKUP(risk_tolerance[[#This Row],[quadrant]],$O$1:$O$5,$P$1:$P$5,"N/A",0)</f>
        <v>Drop</v>
      </c>
    </row>
    <row r="45" spans="1:6" x14ac:dyDescent="0.3">
      <c r="A45" t="s">
        <v>63</v>
      </c>
      <c r="B45">
        <v>6992.51</v>
      </c>
      <c r="C45">
        <v>14.52</v>
      </c>
      <c r="D45" t="s">
        <v>31</v>
      </c>
      <c r="E45" t="str" cm="1">
        <f t="array" ref="E4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45" t="str">
        <f>_xlfn.XLOOKUP(risk_tolerance[[#This Row],[quadrant]],$O$1:$O$5,$P$1:$P$5,"N/A",0)</f>
        <v>Optimize</v>
      </c>
    </row>
    <row r="46" spans="1:6" x14ac:dyDescent="0.3">
      <c r="A46" t="s">
        <v>64</v>
      </c>
      <c r="B46">
        <v>47165.84</v>
      </c>
      <c r="C46">
        <v>94.8</v>
      </c>
      <c r="D46" t="s">
        <v>32</v>
      </c>
      <c r="E46" t="str" cm="1">
        <f t="array" ref="E4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46" t="str">
        <f>_xlfn.XLOOKUP(risk_tolerance[[#This Row],[quadrant]],$O$1:$O$5,$P$1:$P$5,"N/A",0)</f>
        <v>Monitor</v>
      </c>
    </row>
    <row r="47" spans="1:6" x14ac:dyDescent="0.3">
      <c r="A47" t="s">
        <v>65</v>
      </c>
      <c r="B47">
        <v>739.29</v>
      </c>
      <c r="C47">
        <v>122.34</v>
      </c>
      <c r="D47" t="s">
        <v>32</v>
      </c>
      <c r="E47" t="str" cm="1">
        <f t="array" ref="E4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47" t="str">
        <f>_xlfn.XLOOKUP(risk_tolerance[[#This Row],[quadrant]],$O$1:$O$5,$P$1:$P$5,"N/A",0)</f>
        <v>Drop</v>
      </c>
    </row>
    <row r="48" spans="1:6" x14ac:dyDescent="0.3">
      <c r="A48" t="s">
        <v>66</v>
      </c>
      <c r="B48">
        <v>23182.22</v>
      </c>
      <c r="C48">
        <v>200.67</v>
      </c>
      <c r="D48" t="s">
        <v>32</v>
      </c>
      <c r="E48" t="str" cm="1">
        <f t="array" ref="E4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48" t="str">
        <f>_xlfn.XLOOKUP(risk_tolerance[[#This Row],[quadrant]],$O$1:$O$5,$P$1:$P$5,"N/A",0)</f>
        <v>Monitor</v>
      </c>
    </row>
    <row r="49" spans="1:6" x14ac:dyDescent="0.3">
      <c r="A49" t="s">
        <v>67</v>
      </c>
      <c r="B49">
        <v>87069.35</v>
      </c>
      <c r="C49">
        <v>12.94</v>
      </c>
      <c r="D49" t="s">
        <v>31</v>
      </c>
      <c r="E49" t="str" cm="1">
        <f t="array" ref="E4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49" t="str">
        <f>_xlfn.XLOOKUP(risk_tolerance[[#This Row],[quadrant]],$O$1:$O$5,$P$1:$P$5,"N/A",0)</f>
        <v>Scale</v>
      </c>
    </row>
    <row r="50" spans="1:6" x14ac:dyDescent="0.3">
      <c r="A50" t="s">
        <v>15</v>
      </c>
      <c r="B50">
        <v>2174.81</v>
      </c>
      <c r="C50">
        <v>47.55</v>
      </c>
      <c r="D50" t="s">
        <v>31</v>
      </c>
      <c r="E50" t="str" cm="1">
        <f t="array" ref="E5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0" t="str">
        <f>_xlfn.XLOOKUP(risk_tolerance[[#This Row],[quadrant]],$O$1:$O$5,$P$1:$P$5,"N/A",0)</f>
        <v>Drop</v>
      </c>
    </row>
    <row r="51" spans="1:6" x14ac:dyDescent="0.3">
      <c r="A51" t="s">
        <v>68</v>
      </c>
      <c r="B51">
        <v>7794.24</v>
      </c>
      <c r="C51">
        <v>163.9</v>
      </c>
      <c r="D51" t="s">
        <v>32</v>
      </c>
      <c r="E51" t="str" cm="1">
        <f t="array" ref="E5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1" t="str">
        <f>_xlfn.XLOOKUP(risk_tolerance[[#This Row],[quadrant]],$O$1:$O$5,$P$1:$P$5,"N/A",0)</f>
        <v>Drop</v>
      </c>
    </row>
    <row r="52" spans="1:6" x14ac:dyDescent="0.3">
      <c r="A52" t="s">
        <v>69</v>
      </c>
      <c r="B52">
        <v>8939.3799999999992</v>
      </c>
      <c r="C52">
        <v>252</v>
      </c>
      <c r="D52" t="s">
        <v>32</v>
      </c>
      <c r="E52" t="str" cm="1">
        <f t="array" ref="E5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2" t="str">
        <f>_xlfn.XLOOKUP(risk_tolerance[[#This Row],[quadrant]],$O$1:$O$5,$P$1:$P$5,"N/A",0)</f>
        <v>Drop</v>
      </c>
    </row>
    <row r="53" spans="1:6" x14ac:dyDescent="0.3">
      <c r="A53" t="s">
        <v>70</v>
      </c>
      <c r="B53">
        <v>4092.94</v>
      </c>
      <c r="C53">
        <v>40.78</v>
      </c>
      <c r="D53" t="s">
        <v>31</v>
      </c>
      <c r="E53" t="str" cm="1">
        <f t="array" ref="E5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53" t="str">
        <f>_xlfn.XLOOKUP(risk_tolerance[[#This Row],[quadrant]],$O$1:$O$5,$P$1:$P$5,"N/A",0)</f>
        <v>Optimize</v>
      </c>
    </row>
    <row r="54" spans="1:6" x14ac:dyDescent="0.3">
      <c r="A54" t="s">
        <v>71</v>
      </c>
      <c r="B54">
        <v>80368.3</v>
      </c>
      <c r="C54">
        <v>46.69</v>
      </c>
      <c r="D54" t="s">
        <v>31</v>
      </c>
      <c r="E54" t="str" cm="1">
        <f t="array" ref="E5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54" t="str">
        <f>_xlfn.XLOOKUP(risk_tolerance[[#This Row],[quadrant]],$O$1:$O$5,$P$1:$P$5,"N/A",0)</f>
        <v>Monitor</v>
      </c>
    </row>
    <row r="55" spans="1:6" x14ac:dyDescent="0.3">
      <c r="A55" t="s">
        <v>16</v>
      </c>
      <c r="B55">
        <v>7258.28</v>
      </c>
      <c r="C55">
        <v>40.9</v>
      </c>
      <c r="D55" t="s">
        <v>31</v>
      </c>
      <c r="E55" t="str" cm="1">
        <f t="array" ref="E5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55" t="str">
        <f>_xlfn.XLOOKUP(risk_tolerance[[#This Row],[quadrant]],$O$1:$O$5,$P$1:$P$5,"N/A",0)</f>
        <v>Optimize</v>
      </c>
    </row>
    <row r="56" spans="1:6" x14ac:dyDescent="0.3">
      <c r="A56" t="s">
        <v>17</v>
      </c>
      <c r="B56">
        <v>19338.47</v>
      </c>
      <c r="C56">
        <v>126.42</v>
      </c>
      <c r="D56" t="s">
        <v>32</v>
      </c>
      <c r="E56" t="str" cm="1">
        <f t="array" ref="E5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56" t="str">
        <f>_xlfn.XLOOKUP(risk_tolerance[[#This Row],[quadrant]],$O$1:$O$5,$P$1:$P$5,"N/A",0)</f>
        <v>Monitor</v>
      </c>
    </row>
    <row r="57" spans="1:6" x14ac:dyDescent="0.3">
      <c r="A57" t="s">
        <v>72</v>
      </c>
      <c r="B57">
        <v>55943.06</v>
      </c>
      <c r="C57">
        <v>195.6</v>
      </c>
      <c r="D57" t="s">
        <v>32</v>
      </c>
      <c r="E57" t="str" cm="1">
        <f t="array" ref="E5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57" t="str">
        <f>_xlfn.XLOOKUP(risk_tolerance[[#This Row],[quadrant]],$O$1:$O$5,$P$1:$P$5,"N/A",0)</f>
        <v>Monitor</v>
      </c>
    </row>
    <row r="58" spans="1:6" x14ac:dyDescent="0.3">
      <c r="A58" t="s">
        <v>18</v>
      </c>
      <c r="B58">
        <v>1937.12</v>
      </c>
      <c r="C58">
        <v>61.04</v>
      </c>
      <c r="D58" t="s">
        <v>31</v>
      </c>
      <c r="E58" t="str" cm="1">
        <f t="array" ref="E5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8" t="str">
        <f>_xlfn.XLOOKUP(risk_tolerance[[#This Row],[quadrant]],$O$1:$O$5,$P$1:$P$5,"N/A",0)</f>
        <v>Drop</v>
      </c>
    </row>
    <row r="59" spans="1:6" x14ac:dyDescent="0.3">
      <c r="A59" t="s">
        <v>19</v>
      </c>
      <c r="B59">
        <v>11105.81</v>
      </c>
      <c r="C59">
        <v>100.45</v>
      </c>
      <c r="D59" t="s">
        <v>32</v>
      </c>
      <c r="E59" t="str" cm="1">
        <f t="array" ref="E5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59" t="str">
        <f>_xlfn.XLOOKUP(risk_tolerance[[#This Row],[quadrant]],$O$1:$O$5,$P$1:$P$5,"N/A",0)</f>
        <v>Drop</v>
      </c>
    </row>
    <row r="60" spans="1:6" x14ac:dyDescent="0.3">
      <c r="A60" t="s">
        <v>73</v>
      </c>
      <c r="B60">
        <v>53548.05</v>
      </c>
      <c r="C60">
        <v>51.91</v>
      </c>
      <c r="D60" t="s">
        <v>31</v>
      </c>
      <c r="E60" t="str" cm="1">
        <f t="array" ref="E6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60" t="str">
        <f>_xlfn.XLOOKUP(risk_tolerance[[#This Row],[quadrant]],$O$1:$O$5,$P$1:$P$5,"N/A",0)</f>
        <v>Monitor</v>
      </c>
    </row>
    <row r="61" spans="1:6" x14ac:dyDescent="0.3">
      <c r="A61" t="s">
        <v>74</v>
      </c>
      <c r="B61">
        <v>30883.75</v>
      </c>
      <c r="C61">
        <v>15.2</v>
      </c>
      <c r="D61" t="s">
        <v>31</v>
      </c>
      <c r="E61" t="str" cm="1">
        <f t="array" ref="E6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61" t="str">
        <f>_xlfn.XLOOKUP(risk_tolerance[[#This Row],[quadrant]],$O$1:$O$5,$P$1:$P$5,"N/A",0)</f>
        <v>Scale</v>
      </c>
    </row>
    <row r="62" spans="1:6" x14ac:dyDescent="0.3">
      <c r="A62" t="s">
        <v>75</v>
      </c>
      <c r="B62">
        <v>6379.06</v>
      </c>
      <c r="C62">
        <v>182.6</v>
      </c>
      <c r="D62" t="s">
        <v>32</v>
      </c>
      <c r="E62" t="str" cm="1">
        <f t="array" ref="E6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62" t="str">
        <f>_xlfn.XLOOKUP(risk_tolerance[[#This Row],[quadrant]],$O$1:$O$5,$P$1:$P$5,"N/A",0)</f>
        <v>Drop</v>
      </c>
    </row>
    <row r="63" spans="1:6" x14ac:dyDescent="0.3">
      <c r="A63" t="s">
        <v>76</v>
      </c>
      <c r="B63">
        <v>5999.63</v>
      </c>
      <c r="C63">
        <v>192.17</v>
      </c>
      <c r="D63" t="s">
        <v>32</v>
      </c>
      <c r="E63" t="str" cm="1">
        <f t="array" ref="E6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63" t="str">
        <f>_xlfn.XLOOKUP(risk_tolerance[[#This Row],[quadrant]],$O$1:$O$5,$P$1:$P$5,"N/A",0)</f>
        <v>Drop</v>
      </c>
    </row>
    <row r="64" spans="1:6" x14ac:dyDescent="0.3">
      <c r="A64" t="s">
        <v>77</v>
      </c>
      <c r="B64">
        <v>19626.68</v>
      </c>
      <c r="C64">
        <v>41.23</v>
      </c>
      <c r="D64" t="s">
        <v>31</v>
      </c>
      <c r="E64" t="str" cm="1">
        <f t="array" ref="E6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64" t="str">
        <f>_xlfn.XLOOKUP(risk_tolerance[[#This Row],[quadrant]],$O$1:$O$5,$P$1:$P$5,"N/A",0)</f>
        <v>Scale</v>
      </c>
    </row>
    <row r="65" spans="1:6" x14ac:dyDescent="0.3">
      <c r="A65" t="s">
        <v>20</v>
      </c>
      <c r="B65">
        <v>3179.74</v>
      </c>
      <c r="C65">
        <v>148.94999999999999</v>
      </c>
      <c r="D65" t="s">
        <v>32</v>
      </c>
      <c r="E65" t="str" cm="1">
        <f t="array" ref="E6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65" t="str">
        <f>_xlfn.XLOOKUP(risk_tolerance[[#This Row],[quadrant]],$O$1:$O$5,$P$1:$P$5,"N/A",0)</f>
        <v>Drop</v>
      </c>
    </row>
    <row r="66" spans="1:6" x14ac:dyDescent="0.3">
      <c r="A66" t="s">
        <v>78</v>
      </c>
      <c r="B66">
        <v>11997.69</v>
      </c>
      <c r="C66">
        <v>7.97</v>
      </c>
      <c r="D66" t="s">
        <v>31</v>
      </c>
      <c r="E66" t="str" cm="1">
        <f t="array" ref="E6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66" t="str">
        <f>_xlfn.XLOOKUP(risk_tolerance[[#This Row],[quadrant]],$O$1:$O$5,$P$1:$P$5,"N/A",0)</f>
        <v>Scale</v>
      </c>
    </row>
    <row r="67" spans="1:6" x14ac:dyDescent="0.3">
      <c r="A67" t="s">
        <v>79</v>
      </c>
      <c r="B67">
        <v>15391.68</v>
      </c>
      <c r="C67">
        <v>235.73</v>
      </c>
      <c r="D67" t="s">
        <v>32</v>
      </c>
      <c r="E67" t="str" cm="1">
        <f t="array" ref="E6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67" t="str">
        <f>_xlfn.XLOOKUP(risk_tolerance[[#This Row],[quadrant]],$O$1:$O$5,$P$1:$P$5,"N/A",0)</f>
        <v>Monitor</v>
      </c>
    </row>
    <row r="68" spans="1:6" x14ac:dyDescent="0.3">
      <c r="A68" t="s">
        <v>80</v>
      </c>
      <c r="B68">
        <v>18284.25</v>
      </c>
      <c r="C68">
        <v>168.96</v>
      </c>
      <c r="D68" t="s">
        <v>32</v>
      </c>
      <c r="E68" t="str" cm="1">
        <f t="array" ref="E6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68" t="str">
        <f>_xlfn.XLOOKUP(risk_tolerance[[#This Row],[quadrant]],$O$1:$O$5,$P$1:$P$5,"N/A",0)</f>
        <v>Monitor</v>
      </c>
    </row>
    <row r="69" spans="1:6" x14ac:dyDescent="0.3">
      <c r="A69" t="s">
        <v>81</v>
      </c>
      <c r="B69">
        <v>45002.33</v>
      </c>
      <c r="C69">
        <v>3.69</v>
      </c>
      <c r="D69" t="s">
        <v>31</v>
      </c>
      <c r="E69" t="str" cm="1">
        <f t="array" ref="E6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69" t="str">
        <f>_xlfn.XLOOKUP(risk_tolerance[[#This Row],[quadrant]],$O$1:$O$5,$P$1:$P$5,"N/A",0)</f>
        <v>Scale</v>
      </c>
    </row>
    <row r="70" spans="1:6" x14ac:dyDescent="0.3">
      <c r="A70" t="s">
        <v>82</v>
      </c>
      <c r="B70">
        <v>6084.58</v>
      </c>
      <c r="C70">
        <v>35.700000000000003</v>
      </c>
      <c r="D70" t="s">
        <v>31</v>
      </c>
      <c r="E70" t="str" cm="1">
        <f t="array" ref="E7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70" t="str">
        <f>_xlfn.XLOOKUP(risk_tolerance[[#This Row],[quadrant]],$O$1:$O$5,$P$1:$P$5,"N/A",0)</f>
        <v>Optimize</v>
      </c>
    </row>
    <row r="71" spans="1:6" x14ac:dyDescent="0.3">
      <c r="A71" t="s">
        <v>83</v>
      </c>
      <c r="B71">
        <v>27948.95</v>
      </c>
      <c r="C71">
        <v>17.71</v>
      </c>
      <c r="D71" t="s">
        <v>31</v>
      </c>
      <c r="E71" t="str" cm="1">
        <f t="array" ref="E7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71" t="str">
        <f>_xlfn.XLOOKUP(risk_tolerance[[#This Row],[quadrant]],$O$1:$O$5,$P$1:$P$5,"N/A",0)</f>
        <v>Scale</v>
      </c>
    </row>
    <row r="72" spans="1:6" x14ac:dyDescent="0.3">
      <c r="A72" t="s">
        <v>84</v>
      </c>
      <c r="B72">
        <v>1515.51</v>
      </c>
      <c r="C72">
        <v>69.56</v>
      </c>
      <c r="D72" t="s">
        <v>31</v>
      </c>
      <c r="E72" t="str" cm="1">
        <f t="array" ref="E7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72" t="str">
        <f>_xlfn.XLOOKUP(risk_tolerance[[#This Row],[quadrant]],$O$1:$O$5,$P$1:$P$5,"N/A",0)</f>
        <v>Drop</v>
      </c>
    </row>
    <row r="73" spans="1:6" x14ac:dyDescent="0.3">
      <c r="A73" t="s">
        <v>85</v>
      </c>
      <c r="B73">
        <v>4025.15</v>
      </c>
      <c r="C73">
        <v>20.79</v>
      </c>
      <c r="D73" t="s">
        <v>31</v>
      </c>
      <c r="E73" t="str" cm="1">
        <f t="array" ref="E7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73" t="str">
        <f>_xlfn.XLOOKUP(risk_tolerance[[#This Row],[quadrant]],$O$1:$O$5,$P$1:$P$5,"N/A",0)</f>
        <v>Optimize</v>
      </c>
    </row>
    <row r="74" spans="1:6" x14ac:dyDescent="0.3">
      <c r="A74" t="s">
        <v>86</v>
      </c>
      <c r="B74">
        <v>43055.360000000001</v>
      </c>
      <c r="C74">
        <v>189.59</v>
      </c>
      <c r="D74" t="s">
        <v>32</v>
      </c>
      <c r="E74" t="str" cm="1">
        <f t="array" ref="E7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74" t="str">
        <f>_xlfn.XLOOKUP(risk_tolerance[[#This Row],[quadrant]],$O$1:$O$5,$P$1:$P$5,"N/A",0)</f>
        <v>Monitor</v>
      </c>
    </row>
    <row r="75" spans="1:6" x14ac:dyDescent="0.3">
      <c r="A75" t="s">
        <v>21</v>
      </c>
      <c r="B75">
        <v>31395.75</v>
      </c>
      <c r="C75">
        <v>198.68</v>
      </c>
      <c r="D75" t="s">
        <v>32</v>
      </c>
      <c r="E75" t="str" cm="1">
        <f t="array" ref="E7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75" t="str">
        <f>_xlfn.XLOOKUP(risk_tolerance[[#This Row],[quadrant]],$O$1:$O$5,$P$1:$P$5,"N/A",0)</f>
        <v>Monitor</v>
      </c>
    </row>
    <row r="76" spans="1:6" x14ac:dyDescent="0.3">
      <c r="A76" t="s">
        <v>87</v>
      </c>
      <c r="B76">
        <v>2779.87</v>
      </c>
      <c r="C76">
        <v>4.76</v>
      </c>
      <c r="D76" t="s">
        <v>31</v>
      </c>
      <c r="E76" t="str" cm="1">
        <f t="array" ref="E7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76" t="str">
        <f>_xlfn.XLOOKUP(risk_tolerance[[#This Row],[quadrant]],$O$1:$O$5,$P$1:$P$5,"N/A",0)</f>
        <v>Optimize</v>
      </c>
    </row>
    <row r="77" spans="1:6" x14ac:dyDescent="0.3">
      <c r="A77" t="s">
        <v>88</v>
      </c>
      <c r="B77">
        <v>9807.1299999999992</v>
      </c>
      <c r="C77">
        <v>111.65</v>
      </c>
      <c r="D77" t="s">
        <v>32</v>
      </c>
      <c r="E77" t="str" cm="1">
        <f t="array" ref="E7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77" t="str">
        <f>_xlfn.XLOOKUP(risk_tolerance[[#This Row],[quadrant]],$O$1:$O$5,$P$1:$P$5,"N/A",0)</f>
        <v>Drop</v>
      </c>
    </row>
    <row r="78" spans="1:6" x14ac:dyDescent="0.3">
      <c r="A78" t="s">
        <v>89</v>
      </c>
      <c r="B78">
        <v>16583.84</v>
      </c>
      <c r="C78">
        <v>78.48</v>
      </c>
      <c r="D78" t="s">
        <v>31</v>
      </c>
      <c r="E78" t="str" cm="1">
        <f t="array" ref="E7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78" t="str">
        <f>_xlfn.XLOOKUP(risk_tolerance[[#This Row],[quadrant]],$O$1:$O$5,$P$1:$P$5,"N/A",0)</f>
        <v>Monitor</v>
      </c>
    </row>
    <row r="79" spans="1:6" x14ac:dyDescent="0.3">
      <c r="A79" t="s">
        <v>22</v>
      </c>
      <c r="B79">
        <v>20574.72</v>
      </c>
      <c r="C79">
        <v>177.2</v>
      </c>
      <c r="D79" t="s">
        <v>32</v>
      </c>
      <c r="E79" t="str" cm="1">
        <f t="array" ref="E7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79" t="str">
        <f>_xlfn.XLOOKUP(risk_tolerance[[#This Row],[quadrant]],$O$1:$O$5,$P$1:$P$5,"N/A",0)</f>
        <v>Monitor</v>
      </c>
    </row>
    <row r="80" spans="1:6" x14ac:dyDescent="0.3">
      <c r="A80" t="s">
        <v>90</v>
      </c>
      <c r="B80">
        <v>5886.72</v>
      </c>
      <c r="C80">
        <v>139.29</v>
      </c>
      <c r="D80" t="s">
        <v>32</v>
      </c>
      <c r="E80" t="str" cm="1">
        <f t="array" ref="E8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80" t="str">
        <f>_xlfn.XLOOKUP(risk_tolerance[[#This Row],[quadrant]],$O$1:$O$5,$P$1:$P$5,"N/A",0)</f>
        <v>Drop</v>
      </c>
    </row>
    <row r="81" spans="1:6" x14ac:dyDescent="0.3">
      <c r="A81" t="s">
        <v>23</v>
      </c>
      <c r="B81">
        <v>11232.92</v>
      </c>
      <c r="C81">
        <v>5.14</v>
      </c>
      <c r="D81" t="s">
        <v>31</v>
      </c>
      <c r="E81" t="str" cm="1">
        <f t="array" ref="E8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81" t="str">
        <f>_xlfn.XLOOKUP(risk_tolerance[[#This Row],[quadrant]],$O$1:$O$5,$P$1:$P$5,"N/A",0)</f>
        <v>Optimize</v>
      </c>
    </row>
    <row r="82" spans="1:6" x14ac:dyDescent="0.3">
      <c r="A82" t="s">
        <v>91</v>
      </c>
      <c r="B82">
        <v>79384.100000000006</v>
      </c>
      <c r="C82">
        <v>68.39</v>
      </c>
      <c r="D82" t="s">
        <v>31</v>
      </c>
      <c r="E82" t="str" cm="1">
        <f t="array" ref="E8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82" t="str">
        <f>_xlfn.XLOOKUP(risk_tolerance[[#This Row],[quadrant]],$O$1:$O$5,$P$1:$P$5,"N/A",0)</f>
        <v>Monitor</v>
      </c>
    </row>
    <row r="83" spans="1:6" x14ac:dyDescent="0.3">
      <c r="A83" t="s">
        <v>92</v>
      </c>
      <c r="B83">
        <v>56338.21</v>
      </c>
      <c r="C83">
        <v>99.35</v>
      </c>
      <c r="D83" t="s">
        <v>32</v>
      </c>
      <c r="E83" t="str" cm="1">
        <f t="array" ref="E8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83" t="str">
        <f>_xlfn.XLOOKUP(risk_tolerance[[#This Row],[quadrant]],$O$1:$O$5,$P$1:$P$5,"N/A",0)</f>
        <v>Monitor</v>
      </c>
    </row>
    <row r="84" spans="1:6" x14ac:dyDescent="0.3">
      <c r="A84" t="s">
        <v>24</v>
      </c>
      <c r="B84">
        <v>5714.56</v>
      </c>
      <c r="C84">
        <v>107.58</v>
      </c>
      <c r="D84" t="s">
        <v>32</v>
      </c>
      <c r="E84" t="str" cm="1">
        <f t="array" ref="E8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84" t="str">
        <f>_xlfn.XLOOKUP(risk_tolerance[[#This Row],[quadrant]],$O$1:$O$5,$P$1:$P$5,"N/A",0)</f>
        <v>Drop</v>
      </c>
    </row>
    <row r="85" spans="1:6" x14ac:dyDescent="0.3">
      <c r="A85" t="s">
        <v>93</v>
      </c>
      <c r="B85">
        <v>45585.48</v>
      </c>
      <c r="C85">
        <v>40.200000000000003</v>
      </c>
      <c r="D85" t="s">
        <v>31</v>
      </c>
      <c r="E85" t="str" cm="1">
        <f t="array" ref="E8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85" t="str">
        <f>_xlfn.XLOOKUP(risk_tolerance[[#This Row],[quadrant]],$O$1:$O$5,$P$1:$P$5,"N/A",0)</f>
        <v>Scale</v>
      </c>
    </row>
    <row r="86" spans="1:6" x14ac:dyDescent="0.3">
      <c r="A86" t="s">
        <v>94</v>
      </c>
      <c r="B86">
        <v>55024.31</v>
      </c>
      <c r="C86">
        <v>290.61</v>
      </c>
      <c r="D86" t="s">
        <v>32</v>
      </c>
      <c r="E86" t="str" cm="1">
        <f t="array" ref="E8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86" t="str">
        <f>_xlfn.XLOOKUP(risk_tolerance[[#This Row],[quadrant]],$O$1:$O$5,$P$1:$P$5,"N/A",0)</f>
        <v>Monitor</v>
      </c>
    </row>
    <row r="87" spans="1:6" x14ac:dyDescent="0.3">
      <c r="A87" t="s">
        <v>25</v>
      </c>
      <c r="B87">
        <v>1845.9</v>
      </c>
      <c r="C87">
        <v>32.99</v>
      </c>
      <c r="D87" t="s">
        <v>31</v>
      </c>
      <c r="E87" t="str" cm="1">
        <f t="array" ref="E8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87" t="str">
        <f>_xlfn.XLOOKUP(risk_tolerance[[#This Row],[quadrant]],$O$1:$O$5,$P$1:$P$5,"N/A",0)</f>
        <v>Optimize</v>
      </c>
    </row>
    <row r="88" spans="1:6" x14ac:dyDescent="0.3">
      <c r="A88" t="s">
        <v>95</v>
      </c>
      <c r="B88">
        <v>4383.53</v>
      </c>
      <c r="C88">
        <v>49.24</v>
      </c>
      <c r="D88" t="s">
        <v>31</v>
      </c>
      <c r="E88" t="str" cm="1">
        <f t="array" ref="E8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88" t="str">
        <f>_xlfn.XLOOKUP(risk_tolerance[[#This Row],[quadrant]],$O$1:$O$5,$P$1:$P$5,"N/A",0)</f>
        <v>Drop</v>
      </c>
    </row>
    <row r="89" spans="1:6" x14ac:dyDescent="0.3">
      <c r="A89" t="s">
        <v>96</v>
      </c>
      <c r="B89">
        <v>6317.44</v>
      </c>
      <c r="C89">
        <v>162.52000000000001</v>
      </c>
      <c r="D89" t="s">
        <v>32</v>
      </c>
      <c r="E89" t="str" cm="1">
        <f t="array" ref="E8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89" t="str">
        <f>_xlfn.XLOOKUP(risk_tolerance[[#This Row],[quadrant]],$O$1:$O$5,$P$1:$P$5,"N/A",0)</f>
        <v>Drop</v>
      </c>
    </row>
    <row r="90" spans="1:6" x14ac:dyDescent="0.3">
      <c r="A90" t="s">
        <v>97</v>
      </c>
      <c r="B90">
        <v>55402.3</v>
      </c>
      <c r="C90">
        <v>33.22</v>
      </c>
      <c r="D90" t="s">
        <v>31</v>
      </c>
      <c r="E90" t="str" cm="1">
        <f t="array" ref="E9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90" t="str">
        <f>_xlfn.XLOOKUP(risk_tolerance[[#This Row],[quadrant]],$O$1:$O$5,$P$1:$P$5,"N/A",0)</f>
        <v>Scale</v>
      </c>
    </row>
    <row r="91" spans="1:6" x14ac:dyDescent="0.3">
      <c r="A91" t="s">
        <v>98</v>
      </c>
      <c r="B91">
        <v>13043.32</v>
      </c>
      <c r="C91">
        <v>61.05</v>
      </c>
      <c r="D91" t="s">
        <v>31</v>
      </c>
      <c r="E91" t="str" cm="1">
        <f t="array" ref="E9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91" t="str">
        <f>_xlfn.XLOOKUP(risk_tolerance[[#This Row],[quadrant]],$O$1:$O$5,$P$1:$P$5,"N/A",0)</f>
        <v>Monitor</v>
      </c>
    </row>
    <row r="92" spans="1:6" x14ac:dyDescent="0.3">
      <c r="A92" t="s">
        <v>99</v>
      </c>
      <c r="B92">
        <v>4348.8599999999997</v>
      </c>
      <c r="C92">
        <v>40.24</v>
      </c>
      <c r="D92" t="s">
        <v>31</v>
      </c>
      <c r="E92" t="str" cm="1">
        <f t="array" ref="E92">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Low Risk</v>
      </c>
      <c r="F92" t="str">
        <f>_xlfn.XLOOKUP(risk_tolerance[[#This Row],[quadrant]],$O$1:$O$5,$P$1:$P$5,"N/A",0)</f>
        <v>Optimize</v>
      </c>
    </row>
    <row r="93" spans="1:6" x14ac:dyDescent="0.3">
      <c r="A93" t="s">
        <v>100</v>
      </c>
      <c r="B93">
        <v>56847.32</v>
      </c>
      <c r="C93">
        <v>21.28</v>
      </c>
      <c r="D93" t="s">
        <v>31</v>
      </c>
      <c r="E93" t="str" cm="1">
        <f t="array" ref="E93">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93" t="str">
        <f>_xlfn.XLOOKUP(risk_tolerance[[#This Row],[quadrant]],$O$1:$O$5,$P$1:$P$5,"N/A",0)</f>
        <v>Scale</v>
      </c>
    </row>
    <row r="94" spans="1:6" x14ac:dyDescent="0.3">
      <c r="A94" t="s">
        <v>101</v>
      </c>
      <c r="B94">
        <v>13102.05</v>
      </c>
      <c r="C94">
        <v>12.34</v>
      </c>
      <c r="D94" t="s">
        <v>31</v>
      </c>
      <c r="E94" t="str" cm="1">
        <f t="array" ref="E94">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94" t="str">
        <f>_xlfn.XLOOKUP(risk_tolerance[[#This Row],[quadrant]],$O$1:$O$5,$P$1:$P$5,"N/A",0)</f>
        <v>Scale</v>
      </c>
    </row>
    <row r="95" spans="1:6" x14ac:dyDescent="0.3">
      <c r="A95" t="s">
        <v>26</v>
      </c>
      <c r="B95">
        <v>7856.51</v>
      </c>
      <c r="C95">
        <v>162.47</v>
      </c>
      <c r="D95" t="s">
        <v>32</v>
      </c>
      <c r="E95" t="str" cm="1">
        <f t="array" ref="E95">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95" t="str">
        <f>_xlfn.XLOOKUP(risk_tolerance[[#This Row],[quadrant]],$O$1:$O$5,$P$1:$P$5,"N/A",0)</f>
        <v>Drop</v>
      </c>
    </row>
    <row r="96" spans="1:6" x14ac:dyDescent="0.3">
      <c r="A96" t="s">
        <v>102</v>
      </c>
      <c r="B96">
        <v>2930.87</v>
      </c>
      <c r="C96">
        <v>68.790000000000006</v>
      </c>
      <c r="D96" t="s">
        <v>31</v>
      </c>
      <c r="E96" t="str" cm="1">
        <f t="array" ref="E96">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96" t="str">
        <f>_xlfn.XLOOKUP(risk_tolerance[[#This Row],[quadrant]],$O$1:$O$5,$P$1:$P$5,"N/A",0)</f>
        <v>Drop</v>
      </c>
    </row>
    <row r="97" spans="1:6" x14ac:dyDescent="0.3">
      <c r="A97" t="s">
        <v>103</v>
      </c>
      <c r="B97">
        <v>52283.92</v>
      </c>
      <c r="C97">
        <v>49.65</v>
      </c>
      <c r="D97" t="s">
        <v>31</v>
      </c>
      <c r="E97" t="str" cm="1">
        <f t="array" ref="E97">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97" t="str">
        <f>_xlfn.XLOOKUP(risk_tolerance[[#This Row],[quadrant]],$O$1:$O$5,$P$1:$P$5,"N/A",0)</f>
        <v>Monitor</v>
      </c>
    </row>
    <row r="98" spans="1:6" x14ac:dyDescent="0.3">
      <c r="A98" t="s">
        <v>104</v>
      </c>
      <c r="B98">
        <v>7889.94</v>
      </c>
      <c r="C98">
        <v>127.78</v>
      </c>
      <c r="D98" t="s">
        <v>32</v>
      </c>
      <c r="E98" t="str" cm="1">
        <f t="array" ref="E98">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98" t="str">
        <f>_xlfn.XLOOKUP(risk_tolerance[[#This Row],[quadrant]],$O$1:$O$5,$P$1:$P$5,"N/A",0)</f>
        <v>Drop</v>
      </c>
    </row>
    <row r="99" spans="1:6" x14ac:dyDescent="0.3">
      <c r="A99" t="s">
        <v>105</v>
      </c>
      <c r="B99">
        <v>144.94999999999999</v>
      </c>
      <c r="C99">
        <v>128.30000000000001</v>
      </c>
      <c r="D99" t="s">
        <v>32</v>
      </c>
      <c r="E99" t="str" cm="1">
        <f t="array" ref="E99">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Low Profit - High Risk</v>
      </c>
      <c r="F99" t="str">
        <f>_xlfn.XLOOKUP(risk_tolerance[[#This Row],[quadrant]],$O$1:$O$5,$P$1:$P$5,"N/A",0)</f>
        <v>Drop</v>
      </c>
    </row>
    <row r="100" spans="1:6" x14ac:dyDescent="0.3">
      <c r="A100" t="s">
        <v>106</v>
      </c>
      <c r="B100">
        <v>18028.939999999999</v>
      </c>
      <c r="C100">
        <v>104.69</v>
      </c>
      <c r="D100" t="s">
        <v>32</v>
      </c>
      <c r="E100" t="str" cm="1">
        <f t="array" ref="E100">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High Risk</v>
      </c>
      <c r="F100" t="str">
        <f>_xlfn.XLOOKUP(risk_tolerance[[#This Row],[quadrant]],$O$1:$O$5,$P$1:$P$5,"N/A",0)</f>
        <v>Monitor</v>
      </c>
    </row>
    <row r="101" spans="1:6" x14ac:dyDescent="0.3">
      <c r="A101" t="s">
        <v>107</v>
      </c>
      <c r="B101">
        <v>42921.3</v>
      </c>
      <c r="C101">
        <v>14.88</v>
      </c>
      <c r="D101" t="s">
        <v>31</v>
      </c>
      <c r="E101" t="str" cm="1">
        <f t="array" ref="E101">_xlfn.IFS(AND(risk_tolerance[[#This Row],[total_profit]]&gt;=($J$2*0.5),risk_tolerance[[#This Row],[risk_score]]&gt;=($K$2*0.5)),"High Profit - High Risk",
AND(risk_tolerance[[#This Row],[total_profit]]&gt;=($J$2*0.5),risk_tolerance[[#This Row],[risk_score]]&lt;($K$2*0.5)),"High Profit - Low Risk",
AND(risk_tolerance[[#This Row],[total_profit]]&lt;($J$2*0.5),risk_tolerance[[#This Row],[risk_score]]&gt;=($K$2*0.5)),"Low Profit - High Risk",
AND(risk_tolerance[[#This Row],[total_profit]]&lt;($J$2*0.5),risk_tolerance[[#This Row],[risk_score]]&lt;($K$2*0.5)),"Low Profit - Low Risk")</f>
        <v>High Profit - Low Risk</v>
      </c>
      <c r="F101" t="str">
        <f>_xlfn.XLOOKUP(risk_tolerance[[#This Row],[quadrant]],$O$1:$O$5,$P$1:$P$5,"N/A",0)</f>
        <v>Scale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45D7-82A9-4121-A5BD-013F3490AAE6}">
  <dimension ref="A1:L101"/>
  <sheetViews>
    <sheetView workbookViewId="0">
      <selection activeCell="E7" sqref="E7"/>
    </sheetView>
  </sheetViews>
  <sheetFormatPr defaultRowHeight="14.4" x14ac:dyDescent="0.3"/>
  <cols>
    <col min="1" max="1" width="6.21875" bestFit="1" customWidth="1"/>
    <col min="2" max="2" width="9" bestFit="1" customWidth="1"/>
    <col min="3" max="3" width="11.5546875" bestFit="1" customWidth="1"/>
    <col min="4" max="4" width="18.5546875" bestFit="1" customWidth="1"/>
    <col min="5" max="5" width="14.77734375" bestFit="1" customWidth="1"/>
    <col min="6" max="6" width="12.88671875" bestFit="1" customWidth="1"/>
    <col min="11" max="11" width="19.109375" bestFit="1" customWidth="1"/>
  </cols>
  <sheetData>
    <row r="1" spans="1:12" x14ac:dyDescent="0.3">
      <c r="A1" t="s">
        <v>0</v>
      </c>
      <c r="B1" t="s">
        <v>108</v>
      </c>
      <c r="C1" t="s">
        <v>28</v>
      </c>
      <c r="D1" t="s">
        <v>109</v>
      </c>
      <c r="E1" t="s">
        <v>110</v>
      </c>
      <c r="F1" t="s">
        <v>111</v>
      </c>
      <c r="G1" t="s">
        <v>149</v>
      </c>
      <c r="L1" s="2" t="s">
        <v>147</v>
      </c>
    </row>
    <row r="2" spans="1:12" x14ac:dyDescent="0.3">
      <c r="A2" t="s">
        <v>7</v>
      </c>
      <c r="B2">
        <v>86977.93</v>
      </c>
      <c r="C2">
        <v>1.1000000000000001</v>
      </c>
      <c r="D2" t="s">
        <v>31</v>
      </c>
      <c r="E2">
        <v>79070.850000000006</v>
      </c>
      <c r="F2">
        <v>1</v>
      </c>
      <c r="G2" s="20" t="str">
        <f>_xlfn.XLOOKUP(profit_vs_risk_scenario5[[#This Row],[sku]],'risk_tolerance'!A:A,'risk_tolerance'!F:F,"N/A",0)</f>
        <v>Scale</v>
      </c>
      <c r="L2" s="18">
        <f>AVERAGE(profit_vs_risk_scenario5[priority_score])</f>
        <v>2392.7221</v>
      </c>
    </row>
    <row r="3" spans="1:12" x14ac:dyDescent="0.3">
      <c r="A3" t="s">
        <v>46</v>
      </c>
      <c r="B3">
        <v>50953.440000000002</v>
      </c>
      <c r="C3">
        <v>0.93</v>
      </c>
      <c r="D3" t="s">
        <v>31</v>
      </c>
      <c r="E3">
        <v>54788.65</v>
      </c>
      <c r="F3">
        <v>2</v>
      </c>
      <c r="G3" s="20" t="str">
        <f>_xlfn.XLOOKUP(profit_vs_risk_scenario5[[#This Row],[sku]],'risk_tolerance'!A:A,'risk_tolerance'!F:F,"N/A",0)</f>
        <v>Scale</v>
      </c>
    </row>
    <row r="4" spans="1:12" x14ac:dyDescent="0.3">
      <c r="A4" t="s">
        <v>62</v>
      </c>
      <c r="B4">
        <v>55005.88</v>
      </c>
      <c r="C4">
        <v>2.04</v>
      </c>
      <c r="D4" t="s">
        <v>31</v>
      </c>
      <c r="E4">
        <v>26963.67</v>
      </c>
      <c r="F4">
        <v>3</v>
      </c>
      <c r="G4" s="20" t="str">
        <f>_xlfn.XLOOKUP(profit_vs_risk_scenario5[[#This Row],[sku]],'risk_tolerance'!A:A,'risk_tolerance'!F:F,"N/A",0)</f>
        <v>Scale</v>
      </c>
    </row>
    <row r="5" spans="1:12" x14ac:dyDescent="0.3">
      <c r="A5" t="s">
        <v>81</v>
      </c>
      <c r="B5">
        <v>45002.33</v>
      </c>
      <c r="C5">
        <v>3.69</v>
      </c>
      <c r="D5" t="s">
        <v>31</v>
      </c>
      <c r="E5">
        <v>12195.75</v>
      </c>
      <c r="F5">
        <v>4</v>
      </c>
      <c r="G5" s="20" t="str">
        <f>_xlfn.XLOOKUP(profit_vs_risk_scenario5[[#This Row],[sku]],'risk_tolerance'!A:A,'risk_tolerance'!F:F,"N/A",0)</f>
        <v>Scale</v>
      </c>
    </row>
    <row r="6" spans="1:12" x14ac:dyDescent="0.3">
      <c r="A6" t="s">
        <v>9</v>
      </c>
      <c r="B6">
        <v>55726.46</v>
      </c>
      <c r="C6">
        <v>5.94</v>
      </c>
      <c r="D6" t="s">
        <v>31</v>
      </c>
      <c r="E6">
        <v>9381.56</v>
      </c>
      <c r="F6">
        <v>5</v>
      </c>
      <c r="G6" s="20" t="str">
        <f>_xlfn.XLOOKUP(profit_vs_risk_scenario5[[#This Row],[sku]],'risk_tolerance'!A:A,'risk_tolerance'!F:F,"N/A",0)</f>
        <v>Scale</v>
      </c>
    </row>
    <row r="7" spans="1:12" x14ac:dyDescent="0.3">
      <c r="A7" t="s">
        <v>67</v>
      </c>
      <c r="B7">
        <v>87069.35</v>
      </c>
      <c r="C7">
        <v>12.94</v>
      </c>
      <c r="D7" t="s">
        <v>31</v>
      </c>
      <c r="E7">
        <v>6728.7</v>
      </c>
      <c r="F7">
        <v>6</v>
      </c>
      <c r="G7" s="20" t="str">
        <f>_xlfn.XLOOKUP(profit_vs_risk_scenario5[[#This Row],[sku]],'risk_tolerance'!A:A,'risk_tolerance'!F:F,"N/A",0)</f>
        <v>Scale</v>
      </c>
    </row>
    <row r="8" spans="1:12" x14ac:dyDescent="0.3">
      <c r="A8" t="s">
        <v>30</v>
      </c>
      <c r="B8">
        <v>55936.78</v>
      </c>
      <c r="C8">
        <v>9.06</v>
      </c>
      <c r="D8" t="s">
        <v>31</v>
      </c>
      <c r="E8">
        <v>6174.04</v>
      </c>
      <c r="F8">
        <v>7</v>
      </c>
      <c r="G8" s="20" t="str">
        <f>_xlfn.XLOOKUP(profit_vs_risk_scenario5[[#This Row],[sku]],'risk_tolerance'!A:A,'risk_tolerance'!F:F,"N/A",0)</f>
        <v>Scale</v>
      </c>
    </row>
    <row r="9" spans="1:12" x14ac:dyDescent="0.3">
      <c r="A9" t="s">
        <v>60</v>
      </c>
      <c r="B9">
        <v>36698.36</v>
      </c>
      <c r="C9">
        <v>9.81</v>
      </c>
      <c r="D9" t="s">
        <v>31</v>
      </c>
      <c r="E9">
        <v>3740.91</v>
      </c>
      <c r="F9">
        <v>8</v>
      </c>
      <c r="G9" s="20" t="str">
        <f>_xlfn.XLOOKUP(profit_vs_risk_scenario5[[#This Row],[sku]],'risk_tolerance'!A:A,'risk_tolerance'!F:F,"N/A",0)</f>
        <v>Scale</v>
      </c>
    </row>
    <row r="10" spans="1:12" x14ac:dyDescent="0.3">
      <c r="A10" t="s">
        <v>42</v>
      </c>
      <c r="B10">
        <v>10213.01</v>
      </c>
      <c r="C10">
        <v>3.37</v>
      </c>
      <c r="D10" t="s">
        <v>31</v>
      </c>
      <c r="E10">
        <v>3030.57</v>
      </c>
      <c r="F10">
        <v>9</v>
      </c>
      <c r="G10" s="20" t="str">
        <f>_xlfn.XLOOKUP(profit_vs_risk_scenario5[[#This Row],[sku]],'risk_tolerance'!A:A,'risk_tolerance'!F:F,"N/A",0)</f>
        <v>Optimize</v>
      </c>
    </row>
    <row r="11" spans="1:12" x14ac:dyDescent="0.3">
      <c r="A11" t="s">
        <v>107</v>
      </c>
      <c r="B11">
        <v>42921.3</v>
      </c>
      <c r="C11">
        <v>14.88</v>
      </c>
      <c r="D11" t="s">
        <v>31</v>
      </c>
      <c r="E11">
        <v>2884.5</v>
      </c>
      <c r="F11">
        <v>10</v>
      </c>
      <c r="G11" s="20" t="str">
        <f>_xlfn.XLOOKUP(profit_vs_risk_scenario5[[#This Row],[sku]],'risk_tolerance'!A:A,'risk_tolerance'!F:F,"N/A",0)</f>
        <v>Scale</v>
      </c>
    </row>
    <row r="12" spans="1:12" x14ac:dyDescent="0.3">
      <c r="A12" t="s">
        <v>100</v>
      </c>
      <c r="B12">
        <v>56847.32</v>
      </c>
      <c r="C12">
        <v>21.28</v>
      </c>
      <c r="D12" t="s">
        <v>31</v>
      </c>
      <c r="E12">
        <v>2671.4</v>
      </c>
      <c r="F12">
        <v>11</v>
      </c>
      <c r="G12" s="20" t="str">
        <f>_xlfn.XLOOKUP(profit_vs_risk_scenario5[[#This Row],[sku]],'risk_tolerance'!A:A,'risk_tolerance'!F:F,"N/A",0)</f>
        <v>Scale</v>
      </c>
    </row>
    <row r="13" spans="1:12" x14ac:dyDescent="0.3">
      <c r="A13" t="s">
        <v>23</v>
      </c>
      <c r="B13">
        <v>11232.92</v>
      </c>
      <c r="C13">
        <v>5.14</v>
      </c>
      <c r="D13" t="s">
        <v>31</v>
      </c>
      <c r="E13">
        <v>2185.39</v>
      </c>
      <c r="F13">
        <v>12</v>
      </c>
      <c r="G13" s="20" t="str">
        <f>_xlfn.XLOOKUP(profit_vs_risk_scenario5[[#This Row],[sku]],'risk_tolerance'!A:A,'risk_tolerance'!F:F,"N/A",0)</f>
        <v>Optimize</v>
      </c>
    </row>
    <row r="14" spans="1:12" x14ac:dyDescent="0.3">
      <c r="A14" t="s">
        <v>74</v>
      </c>
      <c r="B14">
        <v>30883.75</v>
      </c>
      <c r="C14">
        <v>15.2</v>
      </c>
      <c r="D14" t="s">
        <v>31</v>
      </c>
      <c r="E14">
        <v>2031.83</v>
      </c>
      <c r="F14">
        <v>13</v>
      </c>
      <c r="G14" s="20" t="str">
        <f>_xlfn.XLOOKUP(profit_vs_risk_scenario5[[#This Row],[sku]],'risk_tolerance'!A:A,'risk_tolerance'!F:F,"N/A",0)</f>
        <v>Scale</v>
      </c>
    </row>
    <row r="15" spans="1:12" x14ac:dyDescent="0.3">
      <c r="A15" t="s">
        <v>58</v>
      </c>
      <c r="B15">
        <v>38082.75</v>
      </c>
      <c r="C15">
        <v>20.56</v>
      </c>
      <c r="D15" t="s">
        <v>31</v>
      </c>
      <c r="E15">
        <v>1852.27</v>
      </c>
      <c r="F15">
        <v>14</v>
      </c>
      <c r="G15" s="20" t="str">
        <f>_xlfn.XLOOKUP(profit_vs_risk_scenario5[[#This Row],[sku]],'risk_tolerance'!A:A,'risk_tolerance'!F:F,"N/A",0)</f>
        <v>Scale</v>
      </c>
    </row>
    <row r="16" spans="1:12" x14ac:dyDescent="0.3">
      <c r="A16" t="s">
        <v>71</v>
      </c>
      <c r="B16">
        <v>80368.3</v>
      </c>
      <c r="C16">
        <v>46.69</v>
      </c>
      <c r="D16" t="s">
        <v>31</v>
      </c>
      <c r="E16">
        <v>1721.32</v>
      </c>
      <c r="F16">
        <v>15</v>
      </c>
      <c r="G16" s="20" t="str">
        <f>_xlfn.XLOOKUP(profit_vs_risk_scenario5[[#This Row],[sku]],'risk_tolerance'!A:A,'risk_tolerance'!F:F,"N/A",0)</f>
        <v>Monitor</v>
      </c>
    </row>
    <row r="17" spans="1:7" x14ac:dyDescent="0.3">
      <c r="A17" t="s">
        <v>97</v>
      </c>
      <c r="B17">
        <v>55402.3</v>
      </c>
      <c r="C17">
        <v>33.22</v>
      </c>
      <c r="D17" t="s">
        <v>31</v>
      </c>
      <c r="E17">
        <v>1667.74</v>
      </c>
      <c r="F17">
        <v>16</v>
      </c>
      <c r="G17" s="20" t="str">
        <f>_xlfn.XLOOKUP(profit_vs_risk_scenario5[[#This Row],[sku]],'risk_tolerance'!A:A,'risk_tolerance'!F:F,"N/A",0)</f>
        <v>Scale</v>
      </c>
    </row>
    <row r="18" spans="1:7" x14ac:dyDescent="0.3">
      <c r="A18" t="s">
        <v>83</v>
      </c>
      <c r="B18">
        <v>27948.95</v>
      </c>
      <c r="C18">
        <v>17.71</v>
      </c>
      <c r="D18" t="s">
        <v>31</v>
      </c>
      <c r="E18">
        <v>1578.15</v>
      </c>
      <c r="F18">
        <v>17</v>
      </c>
      <c r="G18" s="20" t="str">
        <f>_xlfn.XLOOKUP(profit_vs_risk_scenario5[[#This Row],[sku]],'risk_tolerance'!A:A,'risk_tolerance'!F:F,"N/A",0)</f>
        <v>Scale</v>
      </c>
    </row>
    <row r="19" spans="1:7" x14ac:dyDescent="0.3">
      <c r="A19" t="s">
        <v>78</v>
      </c>
      <c r="B19">
        <v>11997.69</v>
      </c>
      <c r="C19">
        <v>7.97</v>
      </c>
      <c r="D19" t="s">
        <v>31</v>
      </c>
      <c r="E19">
        <v>1505.36</v>
      </c>
      <c r="F19">
        <v>18</v>
      </c>
      <c r="G19" s="20" t="str">
        <f>_xlfn.XLOOKUP(profit_vs_risk_scenario5[[#This Row],[sku]],'risk_tolerance'!A:A,'risk_tolerance'!F:F,"N/A",0)</f>
        <v>Scale</v>
      </c>
    </row>
    <row r="20" spans="1:7" x14ac:dyDescent="0.3">
      <c r="A20" t="s">
        <v>91</v>
      </c>
      <c r="B20">
        <v>79384.100000000006</v>
      </c>
      <c r="C20">
        <v>68.39</v>
      </c>
      <c r="D20" t="s">
        <v>31</v>
      </c>
      <c r="E20">
        <v>1160.76</v>
      </c>
      <c r="F20">
        <v>19</v>
      </c>
      <c r="G20" s="20" t="str">
        <f>_xlfn.XLOOKUP(profit_vs_risk_scenario5[[#This Row],[sku]],'risk_tolerance'!A:A,'risk_tolerance'!F:F,"N/A",0)</f>
        <v>Monitor</v>
      </c>
    </row>
    <row r="21" spans="1:7" x14ac:dyDescent="0.3">
      <c r="A21" t="s">
        <v>5</v>
      </c>
      <c r="B21">
        <v>18198.46</v>
      </c>
      <c r="C21">
        <v>15.93</v>
      </c>
      <c r="D21" t="s">
        <v>31</v>
      </c>
      <c r="E21">
        <v>1142.4000000000001</v>
      </c>
      <c r="F21">
        <v>20</v>
      </c>
      <c r="G21" s="20" t="str">
        <f>_xlfn.XLOOKUP(profit_vs_risk_scenario5[[#This Row],[sku]],'risk_tolerance'!A:A,'risk_tolerance'!F:F,"N/A",0)</f>
        <v>Scale</v>
      </c>
    </row>
    <row r="22" spans="1:7" x14ac:dyDescent="0.3">
      <c r="A22" t="s">
        <v>93</v>
      </c>
      <c r="B22">
        <v>45585.48</v>
      </c>
      <c r="C22">
        <v>40.200000000000003</v>
      </c>
      <c r="D22" t="s">
        <v>31</v>
      </c>
      <c r="E22">
        <v>1133.97</v>
      </c>
      <c r="F22">
        <v>21</v>
      </c>
      <c r="G22" s="20" t="str">
        <f>_xlfn.XLOOKUP(profit_vs_risk_scenario5[[#This Row],[sku]],'risk_tolerance'!A:A,'risk_tolerance'!F:F,"N/A",0)</f>
        <v>Scale</v>
      </c>
    </row>
    <row r="23" spans="1:7" x14ac:dyDescent="0.3">
      <c r="A23" t="s">
        <v>101</v>
      </c>
      <c r="B23">
        <v>13102.05</v>
      </c>
      <c r="C23">
        <v>12.34</v>
      </c>
      <c r="D23" t="s">
        <v>31</v>
      </c>
      <c r="E23">
        <v>1061.75</v>
      </c>
      <c r="F23">
        <v>22</v>
      </c>
      <c r="G23" s="20" t="str">
        <f>_xlfn.XLOOKUP(profit_vs_risk_scenario5[[#This Row],[sku]],'risk_tolerance'!A:A,'risk_tolerance'!F:F,"N/A",0)</f>
        <v>Scale</v>
      </c>
    </row>
    <row r="24" spans="1:7" x14ac:dyDescent="0.3">
      <c r="A24" t="s">
        <v>103</v>
      </c>
      <c r="B24">
        <v>52283.92</v>
      </c>
      <c r="C24">
        <v>49.65</v>
      </c>
      <c r="D24" t="s">
        <v>31</v>
      </c>
      <c r="E24">
        <v>1053.05</v>
      </c>
      <c r="F24">
        <v>23</v>
      </c>
      <c r="G24" s="20" t="str">
        <f>_xlfn.XLOOKUP(profit_vs_risk_scenario5[[#This Row],[sku]],'risk_tolerance'!A:A,'risk_tolerance'!F:F,"N/A",0)</f>
        <v>Monitor</v>
      </c>
    </row>
    <row r="25" spans="1:7" x14ac:dyDescent="0.3">
      <c r="A25" t="s">
        <v>73</v>
      </c>
      <c r="B25">
        <v>53548.05</v>
      </c>
      <c r="C25">
        <v>51.91</v>
      </c>
      <c r="D25" t="s">
        <v>31</v>
      </c>
      <c r="E25">
        <v>1031.56</v>
      </c>
      <c r="F25">
        <v>24</v>
      </c>
      <c r="G25" s="20" t="str">
        <f>_xlfn.XLOOKUP(profit_vs_risk_scenario5[[#This Row],[sku]],'risk_tolerance'!A:A,'risk_tolerance'!F:F,"N/A",0)</f>
        <v>Monitor</v>
      </c>
    </row>
    <row r="26" spans="1:7" x14ac:dyDescent="0.3">
      <c r="A26" t="s">
        <v>57</v>
      </c>
      <c r="B26">
        <v>22543.72</v>
      </c>
      <c r="C26">
        <v>23.92</v>
      </c>
      <c r="D26" t="s">
        <v>31</v>
      </c>
      <c r="E26">
        <v>942.46</v>
      </c>
      <c r="F26">
        <v>25</v>
      </c>
      <c r="G26" s="20" t="str">
        <f>_xlfn.XLOOKUP(profit_vs_risk_scenario5[[#This Row],[sku]],'risk_tolerance'!A:A,'risk_tolerance'!F:F,"N/A",0)</f>
        <v>Scale</v>
      </c>
    </row>
    <row r="27" spans="1:7" x14ac:dyDescent="0.3">
      <c r="A27" t="s">
        <v>55</v>
      </c>
      <c r="B27">
        <v>61826.67</v>
      </c>
      <c r="C27">
        <v>91.46</v>
      </c>
      <c r="D27" t="s">
        <v>31</v>
      </c>
      <c r="E27">
        <v>676</v>
      </c>
      <c r="F27">
        <v>26</v>
      </c>
      <c r="G27" s="20" t="str">
        <f>_xlfn.XLOOKUP(profit_vs_risk_scenario5[[#This Row],[sku]],'risk_tolerance'!A:A,'risk_tolerance'!F:F,"N/A",0)</f>
        <v>Monitor</v>
      </c>
    </row>
    <row r="28" spans="1:7" x14ac:dyDescent="0.3">
      <c r="A28" t="s">
        <v>87</v>
      </c>
      <c r="B28">
        <v>2779.87</v>
      </c>
      <c r="C28">
        <v>4.76</v>
      </c>
      <c r="D28" t="s">
        <v>31</v>
      </c>
      <c r="E28">
        <v>584.01</v>
      </c>
      <c r="F28">
        <v>27</v>
      </c>
      <c r="G28" s="20" t="str">
        <f>_xlfn.XLOOKUP(profit_vs_risk_scenario5[[#This Row],[sku]],'risk_tolerance'!A:A,'risk_tolerance'!F:F,"N/A",0)</f>
        <v>Optimize</v>
      </c>
    </row>
    <row r="29" spans="1:7" x14ac:dyDescent="0.3">
      <c r="A29" t="s">
        <v>92</v>
      </c>
      <c r="B29">
        <v>56338.21</v>
      </c>
      <c r="C29">
        <v>99.35</v>
      </c>
      <c r="D29" t="s">
        <v>32</v>
      </c>
      <c r="E29">
        <v>567.07000000000005</v>
      </c>
      <c r="F29">
        <v>28</v>
      </c>
      <c r="G29" s="20" t="str">
        <f>_xlfn.XLOOKUP(profit_vs_risk_scenario5[[#This Row],[sku]],'risk_tolerance'!A:A,'risk_tolerance'!F:F,"N/A",0)</f>
        <v>Monitor</v>
      </c>
    </row>
    <row r="30" spans="1:7" x14ac:dyDescent="0.3">
      <c r="A30" t="s">
        <v>64</v>
      </c>
      <c r="B30">
        <v>47165.84</v>
      </c>
      <c r="C30">
        <v>94.8</v>
      </c>
      <c r="D30" t="s">
        <v>32</v>
      </c>
      <c r="E30">
        <v>497.53</v>
      </c>
      <c r="F30">
        <v>29</v>
      </c>
      <c r="G30" s="20" t="str">
        <f>_xlfn.XLOOKUP(profit_vs_risk_scenario5[[#This Row],[sku]],'risk_tolerance'!A:A,'risk_tolerance'!F:F,"N/A",0)</f>
        <v>Monitor</v>
      </c>
    </row>
    <row r="31" spans="1:7" x14ac:dyDescent="0.3">
      <c r="A31" t="s">
        <v>63</v>
      </c>
      <c r="B31">
        <v>6992.51</v>
      </c>
      <c r="C31">
        <v>14.52</v>
      </c>
      <c r="D31" t="s">
        <v>31</v>
      </c>
      <c r="E31">
        <v>481.58</v>
      </c>
      <c r="F31">
        <v>30</v>
      </c>
      <c r="G31" s="20" t="str">
        <f>_xlfn.XLOOKUP(profit_vs_risk_scenario5[[#This Row],[sku]],'risk_tolerance'!A:A,'risk_tolerance'!F:F,"N/A",0)</f>
        <v>Optimize</v>
      </c>
    </row>
    <row r="32" spans="1:7" x14ac:dyDescent="0.3">
      <c r="A32" t="s">
        <v>77</v>
      </c>
      <c r="B32">
        <v>19626.68</v>
      </c>
      <c r="C32">
        <v>41.23</v>
      </c>
      <c r="D32" t="s">
        <v>31</v>
      </c>
      <c r="E32">
        <v>476.03</v>
      </c>
      <c r="F32">
        <v>31</v>
      </c>
      <c r="G32" s="20" t="str">
        <f>_xlfn.XLOOKUP(profit_vs_risk_scenario5[[#This Row],[sku]],'risk_tolerance'!A:A,'risk_tolerance'!F:F,"N/A",0)</f>
        <v>Scale</v>
      </c>
    </row>
    <row r="33" spans="1:7" x14ac:dyDescent="0.3">
      <c r="A33" t="s">
        <v>56</v>
      </c>
      <c r="B33">
        <v>39885.279999999999</v>
      </c>
      <c r="C33">
        <v>95.61</v>
      </c>
      <c r="D33" t="s">
        <v>32</v>
      </c>
      <c r="E33">
        <v>417.17</v>
      </c>
      <c r="F33">
        <v>32</v>
      </c>
      <c r="G33" s="20" t="str">
        <f>_xlfn.XLOOKUP(profit_vs_risk_scenario5[[#This Row],[sku]],'risk_tolerance'!A:A,'risk_tolerance'!F:F,"N/A",0)</f>
        <v>Monitor</v>
      </c>
    </row>
    <row r="34" spans="1:7" x14ac:dyDescent="0.3">
      <c r="A34" t="s">
        <v>61</v>
      </c>
      <c r="B34">
        <v>75049.740000000005</v>
      </c>
      <c r="C34">
        <v>193.81</v>
      </c>
      <c r="D34" t="s">
        <v>32</v>
      </c>
      <c r="E34">
        <v>387.23</v>
      </c>
      <c r="F34">
        <v>33</v>
      </c>
      <c r="G34" s="20" t="str">
        <f>_xlfn.XLOOKUP(profit_vs_risk_scenario5[[#This Row],[sku]],'risk_tolerance'!A:A,'risk_tolerance'!F:F,"N/A",0)</f>
        <v>Monitor</v>
      </c>
    </row>
    <row r="35" spans="1:7" x14ac:dyDescent="0.3">
      <c r="A35" t="s">
        <v>10</v>
      </c>
      <c r="B35">
        <v>34376.29</v>
      </c>
      <c r="C35">
        <v>97.49</v>
      </c>
      <c r="D35" t="s">
        <v>32</v>
      </c>
      <c r="E35">
        <v>352.61</v>
      </c>
      <c r="F35">
        <v>34</v>
      </c>
      <c r="G35" s="20" t="str">
        <f>_xlfn.XLOOKUP(profit_vs_risk_scenario5[[#This Row],[sku]],'risk_tolerance'!A:A,'risk_tolerance'!F:F,"N/A",0)</f>
        <v>Monitor</v>
      </c>
    </row>
    <row r="36" spans="1:7" x14ac:dyDescent="0.3">
      <c r="A36" t="s">
        <v>8</v>
      </c>
      <c r="B36">
        <v>23894.05</v>
      </c>
      <c r="C36">
        <v>79.97</v>
      </c>
      <c r="D36" t="s">
        <v>31</v>
      </c>
      <c r="E36">
        <v>298.79000000000002</v>
      </c>
      <c r="F36">
        <v>35</v>
      </c>
      <c r="G36" s="20" t="str">
        <f>_xlfn.XLOOKUP(profit_vs_risk_scenario5[[#This Row],[sku]],'risk_tolerance'!A:A,'risk_tolerance'!F:F,"N/A",0)</f>
        <v>Monitor</v>
      </c>
    </row>
    <row r="37" spans="1:7" x14ac:dyDescent="0.3">
      <c r="A37" t="s">
        <v>6</v>
      </c>
      <c r="B37">
        <v>62680.29</v>
      </c>
      <c r="C37">
        <v>219.14</v>
      </c>
      <c r="D37" t="s">
        <v>32</v>
      </c>
      <c r="E37">
        <v>286.02999999999997</v>
      </c>
      <c r="F37">
        <v>36</v>
      </c>
      <c r="G37" s="20" t="str">
        <f>_xlfn.XLOOKUP(profit_vs_risk_scenario5[[#This Row],[sku]],'risk_tolerance'!A:A,'risk_tolerance'!F:F,"N/A",0)</f>
        <v>Monitor</v>
      </c>
    </row>
    <row r="38" spans="1:7" x14ac:dyDescent="0.3">
      <c r="A38" t="s">
        <v>72</v>
      </c>
      <c r="B38">
        <v>55943.06</v>
      </c>
      <c r="C38">
        <v>195.6</v>
      </c>
      <c r="D38" t="s">
        <v>32</v>
      </c>
      <c r="E38">
        <v>286.01</v>
      </c>
      <c r="F38">
        <v>37</v>
      </c>
      <c r="G38" s="20" t="str">
        <f>_xlfn.XLOOKUP(profit_vs_risk_scenario5[[#This Row],[sku]],'risk_tolerance'!A:A,'risk_tolerance'!F:F,"N/A",0)</f>
        <v>Monitor</v>
      </c>
    </row>
    <row r="39" spans="1:7" x14ac:dyDescent="0.3">
      <c r="A39" t="s">
        <v>47</v>
      </c>
      <c r="B39">
        <v>24409.24</v>
      </c>
      <c r="C39">
        <v>85.51</v>
      </c>
      <c r="D39" t="s">
        <v>31</v>
      </c>
      <c r="E39">
        <v>285.45</v>
      </c>
      <c r="F39">
        <v>38</v>
      </c>
      <c r="G39" s="20" t="str">
        <f>_xlfn.XLOOKUP(profit_vs_risk_scenario5[[#This Row],[sku]],'risk_tolerance'!A:A,'risk_tolerance'!F:F,"N/A",0)</f>
        <v>Monitor</v>
      </c>
    </row>
    <row r="40" spans="1:7" x14ac:dyDescent="0.3">
      <c r="A40" t="s">
        <v>43</v>
      </c>
      <c r="B40">
        <v>22563.599999999999</v>
      </c>
      <c r="C40">
        <v>80.349999999999994</v>
      </c>
      <c r="D40" t="s">
        <v>31</v>
      </c>
      <c r="E40">
        <v>280.82</v>
      </c>
      <c r="F40">
        <v>39</v>
      </c>
      <c r="G40" s="20" t="str">
        <f>_xlfn.XLOOKUP(profit_vs_risk_scenario5[[#This Row],[sku]],'risk_tolerance'!A:A,'risk_tolerance'!F:F,"N/A",0)</f>
        <v>Monitor</v>
      </c>
    </row>
    <row r="41" spans="1:7" x14ac:dyDescent="0.3">
      <c r="A41" t="s">
        <v>38</v>
      </c>
      <c r="B41">
        <v>15539.76</v>
      </c>
      <c r="C41">
        <v>57</v>
      </c>
      <c r="D41" t="s">
        <v>31</v>
      </c>
      <c r="E41">
        <v>272.63</v>
      </c>
      <c r="F41">
        <v>40</v>
      </c>
      <c r="G41" s="20" t="str">
        <f>_xlfn.XLOOKUP(profit_vs_risk_scenario5[[#This Row],[sku]],'risk_tolerance'!A:A,'risk_tolerance'!F:F,"N/A",0)</f>
        <v>Monitor</v>
      </c>
    </row>
    <row r="42" spans="1:7" x14ac:dyDescent="0.3">
      <c r="A42" t="s">
        <v>51</v>
      </c>
      <c r="B42">
        <v>32562.26</v>
      </c>
      <c r="C42">
        <v>120.32</v>
      </c>
      <c r="D42" t="s">
        <v>32</v>
      </c>
      <c r="E42">
        <v>270.63</v>
      </c>
      <c r="F42">
        <v>41</v>
      </c>
      <c r="G42" s="20" t="str">
        <f>_xlfn.XLOOKUP(profit_vs_risk_scenario5[[#This Row],[sku]],'risk_tolerance'!A:A,'risk_tolerance'!F:F,"N/A",0)</f>
        <v>Monitor</v>
      </c>
    </row>
    <row r="43" spans="1:7" x14ac:dyDescent="0.3">
      <c r="A43" t="s">
        <v>40</v>
      </c>
      <c r="B43">
        <v>17248.41</v>
      </c>
      <c r="C43">
        <v>65.67</v>
      </c>
      <c r="D43" t="s">
        <v>31</v>
      </c>
      <c r="E43">
        <v>262.64999999999998</v>
      </c>
      <c r="F43">
        <v>42</v>
      </c>
      <c r="G43" s="20" t="str">
        <f>_xlfn.XLOOKUP(profit_vs_risk_scenario5[[#This Row],[sku]],'risk_tolerance'!A:A,'risk_tolerance'!F:F,"N/A",0)</f>
        <v>Monitor</v>
      </c>
    </row>
    <row r="44" spans="1:7" x14ac:dyDescent="0.3">
      <c r="A44" t="s">
        <v>86</v>
      </c>
      <c r="B44">
        <v>43055.360000000001</v>
      </c>
      <c r="C44">
        <v>189.59</v>
      </c>
      <c r="D44" t="s">
        <v>32</v>
      </c>
      <c r="E44">
        <v>227.1</v>
      </c>
      <c r="F44">
        <v>43</v>
      </c>
      <c r="G44" s="20" t="str">
        <f>_xlfn.XLOOKUP(profit_vs_risk_scenario5[[#This Row],[sku]],'risk_tolerance'!A:A,'risk_tolerance'!F:F,"N/A",0)</f>
        <v>Monitor</v>
      </c>
    </row>
    <row r="45" spans="1:7" x14ac:dyDescent="0.3">
      <c r="A45" t="s">
        <v>41</v>
      </c>
      <c r="B45">
        <v>2031.91</v>
      </c>
      <c r="C45">
        <v>9.11</v>
      </c>
      <c r="D45" t="s">
        <v>31</v>
      </c>
      <c r="E45">
        <v>223.04</v>
      </c>
      <c r="F45">
        <v>44</v>
      </c>
      <c r="G45" s="20" t="str">
        <f>_xlfn.XLOOKUP(profit_vs_risk_scenario5[[#This Row],[sku]],'risk_tolerance'!A:A,'risk_tolerance'!F:F,"N/A",0)</f>
        <v>Optimize</v>
      </c>
    </row>
    <row r="46" spans="1:7" x14ac:dyDescent="0.3">
      <c r="A46" t="s">
        <v>98</v>
      </c>
      <c r="B46">
        <v>13043.32</v>
      </c>
      <c r="C46">
        <v>61.05</v>
      </c>
      <c r="D46" t="s">
        <v>31</v>
      </c>
      <c r="E46">
        <v>213.65</v>
      </c>
      <c r="F46">
        <v>45</v>
      </c>
      <c r="G46" s="20" t="str">
        <f>_xlfn.XLOOKUP(profit_vs_risk_scenario5[[#This Row],[sku]],'risk_tolerance'!A:A,'risk_tolerance'!F:F,"N/A",0)</f>
        <v>Monitor</v>
      </c>
    </row>
    <row r="47" spans="1:7" x14ac:dyDescent="0.3">
      <c r="A47" t="s">
        <v>89</v>
      </c>
      <c r="B47">
        <v>16583.84</v>
      </c>
      <c r="C47">
        <v>78.48</v>
      </c>
      <c r="D47" t="s">
        <v>31</v>
      </c>
      <c r="E47">
        <v>211.31</v>
      </c>
      <c r="F47">
        <v>46</v>
      </c>
      <c r="G47" s="20" t="str">
        <f>_xlfn.XLOOKUP(profit_vs_risk_scenario5[[#This Row],[sku]],'risk_tolerance'!A:A,'risk_tolerance'!F:F,"N/A",0)</f>
        <v>Monitor</v>
      </c>
    </row>
    <row r="48" spans="1:7" x14ac:dyDescent="0.3">
      <c r="A48" t="s">
        <v>59</v>
      </c>
      <c r="B48">
        <v>22498.17</v>
      </c>
      <c r="C48">
        <v>107.02</v>
      </c>
      <c r="D48" t="s">
        <v>32</v>
      </c>
      <c r="E48">
        <v>210.22</v>
      </c>
      <c r="F48">
        <v>47</v>
      </c>
      <c r="G48" s="20" t="str">
        <f>_xlfn.XLOOKUP(profit_vs_risk_scenario5[[#This Row],[sku]],'risk_tolerance'!A:A,'risk_tolerance'!F:F,"N/A",0)</f>
        <v>Monitor</v>
      </c>
    </row>
    <row r="49" spans="1:7" x14ac:dyDescent="0.3">
      <c r="A49" t="s">
        <v>85</v>
      </c>
      <c r="B49">
        <v>4025.15</v>
      </c>
      <c r="C49">
        <v>20.79</v>
      </c>
      <c r="D49" t="s">
        <v>31</v>
      </c>
      <c r="E49">
        <v>193.61</v>
      </c>
      <c r="F49">
        <v>48</v>
      </c>
      <c r="G49" s="20" t="str">
        <f>_xlfn.XLOOKUP(profit_vs_risk_scenario5[[#This Row],[sku]],'risk_tolerance'!A:A,'risk_tolerance'!F:F,"N/A",0)</f>
        <v>Optimize</v>
      </c>
    </row>
    <row r="50" spans="1:7" x14ac:dyDescent="0.3">
      <c r="A50" t="s">
        <v>94</v>
      </c>
      <c r="B50">
        <v>55024.31</v>
      </c>
      <c r="C50">
        <v>290.61</v>
      </c>
      <c r="D50" t="s">
        <v>32</v>
      </c>
      <c r="E50">
        <v>189.34</v>
      </c>
      <c r="F50">
        <v>49</v>
      </c>
      <c r="G50" s="20" t="str">
        <f>_xlfn.XLOOKUP(profit_vs_risk_scenario5[[#This Row],[sku]],'risk_tolerance'!A:A,'risk_tolerance'!F:F,"N/A",0)</f>
        <v>Monitor</v>
      </c>
    </row>
    <row r="51" spans="1:7" x14ac:dyDescent="0.3">
      <c r="A51" t="s">
        <v>16</v>
      </c>
      <c r="B51">
        <v>7258.28</v>
      </c>
      <c r="C51">
        <v>40.9</v>
      </c>
      <c r="D51" t="s">
        <v>31</v>
      </c>
      <c r="E51">
        <v>177.46</v>
      </c>
      <c r="F51">
        <v>50</v>
      </c>
      <c r="G51" s="20" t="str">
        <f>_xlfn.XLOOKUP(profit_vs_risk_scenario5[[#This Row],[sku]],'risk_tolerance'!A:A,'risk_tolerance'!F:F,"N/A",0)</f>
        <v>Optimize</v>
      </c>
    </row>
    <row r="52" spans="1:7" x14ac:dyDescent="0.3">
      <c r="A52" t="s">
        <v>106</v>
      </c>
      <c r="B52">
        <v>18028.939999999999</v>
      </c>
      <c r="C52">
        <v>104.69</v>
      </c>
      <c r="D52" t="s">
        <v>32</v>
      </c>
      <c r="E52">
        <v>172.21</v>
      </c>
      <c r="F52">
        <v>51</v>
      </c>
      <c r="G52" s="20" t="str">
        <f>_xlfn.XLOOKUP(profit_vs_risk_scenario5[[#This Row],[sku]],'risk_tolerance'!A:A,'risk_tolerance'!F:F,"N/A",0)</f>
        <v>Monitor</v>
      </c>
    </row>
    <row r="53" spans="1:7" x14ac:dyDescent="0.3">
      <c r="A53" t="s">
        <v>82</v>
      </c>
      <c r="B53">
        <v>6084.58</v>
      </c>
      <c r="C53">
        <v>35.700000000000003</v>
      </c>
      <c r="D53" t="s">
        <v>31</v>
      </c>
      <c r="E53">
        <v>170.44</v>
      </c>
      <c r="F53">
        <v>52</v>
      </c>
      <c r="G53" s="20" t="str">
        <f>_xlfn.XLOOKUP(profit_vs_risk_scenario5[[#This Row],[sku]],'risk_tolerance'!A:A,'risk_tolerance'!F:F,"N/A",0)</f>
        <v>Optimize</v>
      </c>
    </row>
    <row r="54" spans="1:7" x14ac:dyDescent="0.3">
      <c r="A54" t="s">
        <v>21</v>
      </c>
      <c r="B54">
        <v>31395.75</v>
      </c>
      <c r="C54">
        <v>198.68</v>
      </c>
      <c r="D54" t="s">
        <v>32</v>
      </c>
      <c r="E54">
        <v>158.02000000000001</v>
      </c>
      <c r="F54">
        <v>53</v>
      </c>
      <c r="G54" s="20" t="str">
        <f>_xlfn.XLOOKUP(profit_vs_risk_scenario5[[#This Row],[sku]],'risk_tolerance'!A:A,'risk_tolerance'!F:F,"N/A",0)</f>
        <v>Monitor</v>
      </c>
    </row>
    <row r="55" spans="1:7" x14ac:dyDescent="0.3">
      <c r="A55" t="s">
        <v>45</v>
      </c>
      <c r="B55">
        <v>30754.58</v>
      </c>
      <c r="C55">
        <v>198.88</v>
      </c>
      <c r="D55" t="s">
        <v>32</v>
      </c>
      <c r="E55">
        <v>154.63999999999999</v>
      </c>
      <c r="F55">
        <v>54</v>
      </c>
      <c r="G55" s="20" t="str">
        <f>_xlfn.XLOOKUP(profit_vs_risk_scenario5[[#This Row],[sku]],'risk_tolerance'!A:A,'risk_tolerance'!F:F,"N/A",0)</f>
        <v>Monitor</v>
      </c>
    </row>
    <row r="56" spans="1:7" x14ac:dyDescent="0.3">
      <c r="A56" t="s">
        <v>17</v>
      </c>
      <c r="B56">
        <v>19338.47</v>
      </c>
      <c r="C56">
        <v>126.42</v>
      </c>
      <c r="D56" t="s">
        <v>32</v>
      </c>
      <c r="E56">
        <v>152.97</v>
      </c>
      <c r="F56">
        <v>55</v>
      </c>
      <c r="G56" s="20" t="str">
        <f>_xlfn.XLOOKUP(profit_vs_risk_scenario5[[#This Row],[sku]],'risk_tolerance'!A:A,'risk_tolerance'!F:F,"N/A",0)</f>
        <v>Monitor</v>
      </c>
    </row>
    <row r="57" spans="1:7" x14ac:dyDescent="0.3">
      <c r="A57" t="s">
        <v>53</v>
      </c>
      <c r="B57">
        <v>16004.84</v>
      </c>
      <c r="C57">
        <v>108.59</v>
      </c>
      <c r="D57" t="s">
        <v>32</v>
      </c>
      <c r="E57">
        <v>147.38999999999999</v>
      </c>
      <c r="F57">
        <v>56</v>
      </c>
      <c r="G57" s="20" t="str">
        <f>_xlfn.XLOOKUP(profit_vs_risk_scenario5[[#This Row],[sku]],'risk_tolerance'!A:A,'risk_tolerance'!F:F,"N/A",0)</f>
        <v>Monitor</v>
      </c>
    </row>
    <row r="58" spans="1:7" x14ac:dyDescent="0.3">
      <c r="A58" t="s">
        <v>37</v>
      </c>
      <c r="B58">
        <v>10292.81</v>
      </c>
      <c r="C58">
        <v>81.3</v>
      </c>
      <c r="D58" t="s">
        <v>31</v>
      </c>
      <c r="E58">
        <v>126.6</v>
      </c>
      <c r="F58">
        <v>57</v>
      </c>
      <c r="G58" s="20" t="str">
        <f>_xlfn.XLOOKUP(profit_vs_risk_scenario5[[#This Row],[sku]],'risk_tolerance'!A:A,'risk_tolerance'!F:F,"N/A",0)</f>
        <v>Drop</v>
      </c>
    </row>
    <row r="59" spans="1:7" x14ac:dyDescent="0.3">
      <c r="A59" t="s">
        <v>22</v>
      </c>
      <c r="B59">
        <v>20574.72</v>
      </c>
      <c r="C59">
        <v>177.2</v>
      </c>
      <c r="D59" t="s">
        <v>32</v>
      </c>
      <c r="E59">
        <v>116.11</v>
      </c>
      <c r="F59">
        <v>58</v>
      </c>
      <c r="G59" s="20" t="str">
        <f>_xlfn.XLOOKUP(profit_vs_risk_scenario5[[#This Row],[sku]],'risk_tolerance'!A:A,'risk_tolerance'!F:F,"N/A",0)</f>
        <v>Monitor</v>
      </c>
    </row>
    <row r="60" spans="1:7" x14ac:dyDescent="0.3">
      <c r="A60" t="s">
        <v>66</v>
      </c>
      <c r="B60">
        <v>23182.22</v>
      </c>
      <c r="C60">
        <v>200.67</v>
      </c>
      <c r="D60" t="s">
        <v>32</v>
      </c>
      <c r="E60">
        <v>115.52</v>
      </c>
      <c r="F60">
        <v>59</v>
      </c>
      <c r="G60" s="20" t="str">
        <f>_xlfn.XLOOKUP(profit_vs_risk_scenario5[[#This Row],[sku]],'risk_tolerance'!A:A,'risk_tolerance'!F:F,"N/A",0)</f>
        <v>Monitor</v>
      </c>
    </row>
    <row r="61" spans="1:7" x14ac:dyDescent="0.3">
      <c r="A61" t="s">
        <v>19</v>
      </c>
      <c r="B61">
        <v>11105.81</v>
      </c>
      <c r="C61">
        <v>100.45</v>
      </c>
      <c r="D61" t="s">
        <v>32</v>
      </c>
      <c r="E61">
        <v>110.56</v>
      </c>
      <c r="F61">
        <v>60</v>
      </c>
      <c r="G61" s="20" t="str">
        <f>_xlfn.XLOOKUP(profit_vs_risk_scenario5[[#This Row],[sku]],'risk_tolerance'!A:A,'risk_tolerance'!F:F,"N/A",0)</f>
        <v>Drop</v>
      </c>
    </row>
    <row r="62" spans="1:7" x14ac:dyDescent="0.3">
      <c r="A62" t="s">
        <v>80</v>
      </c>
      <c r="B62">
        <v>18284.25</v>
      </c>
      <c r="C62">
        <v>168.96</v>
      </c>
      <c r="D62" t="s">
        <v>32</v>
      </c>
      <c r="E62">
        <v>108.22</v>
      </c>
      <c r="F62">
        <v>61</v>
      </c>
      <c r="G62" s="20" t="str">
        <f>_xlfn.XLOOKUP(profit_vs_risk_scenario5[[#This Row],[sku]],'risk_tolerance'!A:A,'risk_tolerance'!F:F,"N/A",0)</f>
        <v>Monitor</v>
      </c>
    </row>
    <row r="63" spans="1:7" x14ac:dyDescent="0.3">
      <c r="A63" t="s">
        <v>99</v>
      </c>
      <c r="B63">
        <v>4348.8599999999997</v>
      </c>
      <c r="C63">
        <v>40.24</v>
      </c>
      <c r="D63" t="s">
        <v>31</v>
      </c>
      <c r="E63">
        <v>108.07</v>
      </c>
      <c r="F63">
        <v>62</v>
      </c>
      <c r="G63" s="20" t="str">
        <f>_xlfn.XLOOKUP(profit_vs_risk_scenario5[[#This Row],[sku]],'risk_tolerance'!A:A,'risk_tolerance'!F:F,"N/A",0)</f>
        <v>Optimize</v>
      </c>
    </row>
    <row r="64" spans="1:7" x14ac:dyDescent="0.3">
      <c r="A64" t="s">
        <v>70</v>
      </c>
      <c r="B64">
        <v>4092.94</v>
      </c>
      <c r="C64">
        <v>40.78</v>
      </c>
      <c r="D64" t="s">
        <v>31</v>
      </c>
      <c r="E64">
        <v>100.37</v>
      </c>
      <c r="F64">
        <v>63</v>
      </c>
      <c r="G64" s="20" t="str">
        <f>_xlfn.XLOOKUP(profit_vs_risk_scenario5[[#This Row],[sku]],'risk_tolerance'!A:A,'risk_tolerance'!F:F,"N/A",0)</f>
        <v>Optimize</v>
      </c>
    </row>
    <row r="65" spans="1:7" x14ac:dyDescent="0.3">
      <c r="A65" t="s">
        <v>95</v>
      </c>
      <c r="B65">
        <v>4383.53</v>
      </c>
      <c r="C65">
        <v>49.24</v>
      </c>
      <c r="D65" t="s">
        <v>31</v>
      </c>
      <c r="E65">
        <v>89.02</v>
      </c>
      <c r="F65">
        <v>64</v>
      </c>
      <c r="G65" s="20" t="str">
        <f>_xlfn.XLOOKUP(profit_vs_risk_scenario5[[#This Row],[sku]],'risk_tolerance'!A:A,'risk_tolerance'!F:F,"N/A",0)</f>
        <v>Drop</v>
      </c>
    </row>
    <row r="66" spans="1:7" x14ac:dyDescent="0.3">
      <c r="A66" t="s">
        <v>88</v>
      </c>
      <c r="B66">
        <v>9807.1299999999992</v>
      </c>
      <c r="C66">
        <v>111.65</v>
      </c>
      <c r="D66" t="s">
        <v>32</v>
      </c>
      <c r="E66">
        <v>87.84</v>
      </c>
      <c r="F66">
        <v>65</v>
      </c>
      <c r="G66" s="20" t="str">
        <f>_xlfn.XLOOKUP(profit_vs_risk_scenario5[[#This Row],[sku]],'risk_tolerance'!A:A,'risk_tolerance'!F:F,"N/A",0)</f>
        <v>Drop</v>
      </c>
    </row>
    <row r="67" spans="1:7" x14ac:dyDescent="0.3">
      <c r="A67" t="s">
        <v>35</v>
      </c>
      <c r="B67">
        <v>4089.63</v>
      </c>
      <c r="C67">
        <v>50.33</v>
      </c>
      <c r="D67" t="s">
        <v>31</v>
      </c>
      <c r="E67">
        <v>81.260000000000005</v>
      </c>
      <c r="F67">
        <v>66</v>
      </c>
      <c r="G67" s="20" t="str">
        <f>_xlfn.XLOOKUP(profit_vs_risk_scenario5[[#This Row],[sku]],'risk_tolerance'!A:A,'risk_tolerance'!F:F,"N/A",0)</f>
        <v>Drop</v>
      </c>
    </row>
    <row r="68" spans="1:7" x14ac:dyDescent="0.3">
      <c r="A68" t="s">
        <v>44</v>
      </c>
      <c r="B68">
        <v>9473.0499999999993</v>
      </c>
      <c r="C68">
        <v>123.98</v>
      </c>
      <c r="D68" t="s">
        <v>32</v>
      </c>
      <c r="E68">
        <v>76.41</v>
      </c>
      <c r="F68">
        <v>67</v>
      </c>
      <c r="G68" s="20" t="str">
        <f>_xlfn.XLOOKUP(profit_vs_risk_scenario5[[#This Row],[sku]],'risk_tolerance'!A:A,'risk_tolerance'!F:F,"N/A",0)</f>
        <v>Drop</v>
      </c>
    </row>
    <row r="69" spans="1:7" x14ac:dyDescent="0.3">
      <c r="A69" t="s">
        <v>79</v>
      </c>
      <c r="B69">
        <v>15391.68</v>
      </c>
      <c r="C69">
        <v>235.73</v>
      </c>
      <c r="D69" t="s">
        <v>32</v>
      </c>
      <c r="E69">
        <v>65.290000000000006</v>
      </c>
      <c r="F69">
        <v>68</v>
      </c>
      <c r="G69" s="20" t="str">
        <f>_xlfn.XLOOKUP(profit_vs_risk_scenario5[[#This Row],[sku]],'risk_tolerance'!A:A,'risk_tolerance'!F:F,"N/A",0)</f>
        <v>Monitor</v>
      </c>
    </row>
    <row r="70" spans="1:7" x14ac:dyDescent="0.3">
      <c r="A70" t="s">
        <v>11</v>
      </c>
      <c r="B70">
        <v>8479.43</v>
      </c>
      <c r="C70">
        <v>134.51</v>
      </c>
      <c r="D70" t="s">
        <v>32</v>
      </c>
      <c r="E70">
        <v>63.04</v>
      </c>
      <c r="F70">
        <v>69</v>
      </c>
      <c r="G70" s="20" t="str">
        <f>_xlfn.XLOOKUP(profit_vs_risk_scenario5[[#This Row],[sku]],'risk_tolerance'!A:A,'risk_tolerance'!F:F,"N/A",0)</f>
        <v>Drop</v>
      </c>
    </row>
    <row r="71" spans="1:7" x14ac:dyDescent="0.3">
      <c r="A71" t="s">
        <v>104</v>
      </c>
      <c r="B71">
        <v>7889.94</v>
      </c>
      <c r="C71">
        <v>127.78</v>
      </c>
      <c r="D71" t="s">
        <v>32</v>
      </c>
      <c r="E71">
        <v>61.75</v>
      </c>
      <c r="F71">
        <v>70</v>
      </c>
      <c r="G71" s="20" t="str">
        <f>_xlfn.XLOOKUP(profit_vs_risk_scenario5[[#This Row],[sku]],'risk_tolerance'!A:A,'risk_tolerance'!F:F,"N/A",0)</f>
        <v>Drop</v>
      </c>
    </row>
    <row r="72" spans="1:7" x14ac:dyDescent="0.3">
      <c r="A72" t="s">
        <v>39</v>
      </c>
      <c r="B72">
        <v>3916.57</v>
      </c>
      <c r="C72">
        <v>65.239999999999995</v>
      </c>
      <c r="D72" t="s">
        <v>31</v>
      </c>
      <c r="E72">
        <v>60.03</v>
      </c>
      <c r="F72">
        <v>71</v>
      </c>
      <c r="G72" s="20" t="str">
        <f>_xlfn.XLOOKUP(profit_vs_risk_scenario5[[#This Row],[sku]],'risk_tolerance'!A:A,'risk_tolerance'!F:F,"N/A",0)</f>
        <v>Drop</v>
      </c>
    </row>
    <row r="73" spans="1:7" x14ac:dyDescent="0.3">
      <c r="A73" t="s">
        <v>25</v>
      </c>
      <c r="B73">
        <v>1845.9</v>
      </c>
      <c r="C73">
        <v>32.99</v>
      </c>
      <c r="D73" t="s">
        <v>31</v>
      </c>
      <c r="E73">
        <v>55.95</v>
      </c>
      <c r="F73">
        <v>72</v>
      </c>
      <c r="G73" s="20" t="str">
        <f>_xlfn.XLOOKUP(profit_vs_risk_scenario5[[#This Row],[sku]],'risk_tolerance'!A:A,'risk_tolerance'!F:F,"N/A",0)</f>
        <v>Optimize</v>
      </c>
    </row>
    <row r="74" spans="1:7" x14ac:dyDescent="0.3">
      <c r="A74" t="s">
        <v>24</v>
      </c>
      <c r="B74">
        <v>5714.56</v>
      </c>
      <c r="C74">
        <v>107.58</v>
      </c>
      <c r="D74" t="s">
        <v>32</v>
      </c>
      <c r="E74">
        <v>53.12</v>
      </c>
      <c r="F74">
        <v>73</v>
      </c>
      <c r="G74" s="20" t="str">
        <f>_xlfn.XLOOKUP(profit_vs_risk_scenario5[[#This Row],[sku]],'risk_tolerance'!A:A,'risk_tolerance'!F:F,"N/A",0)</f>
        <v>Drop</v>
      </c>
    </row>
    <row r="75" spans="1:7" x14ac:dyDescent="0.3">
      <c r="A75" t="s">
        <v>48</v>
      </c>
      <c r="B75">
        <v>1589.28</v>
      </c>
      <c r="C75">
        <v>30.87</v>
      </c>
      <c r="D75" t="s">
        <v>31</v>
      </c>
      <c r="E75">
        <v>51.48</v>
      </c>
      <c r="F75">
        <v>74</v>
      </c>
      <c r="G75" s="20" t="str">
        <f>_xlfn.XLOOKUP(profit_vs_risk_scenario5[[#This Row],[sku]],'risk_tolerance'!A:A,'risk_tolerance'!F:F,"N/A",0)</f>
        <v>Optimize</v>
      </c>
    </row>
    <row r="76" spans="1:7" x14ac:dyDescent="0.3">
      <c r="A76" t="s">
        <v>26</v>
      </c>
      <c r="B76">
        <v>7856.51</v>
      </c>
      <c r="C76">
        <v>162.47</v>
      </c>
      <c r="D76" t="s">
        <v>32</v>
      </c>
      <c r="E76">
        <v>48.36</v>
      </c>
      <c r="F76">
        <v>75</v>
      </c>
      <c r="G76" s="20" t="str">
        <f>_xlfn.XLOOKUP(profit_vs_risk_scenario5[[#This Row],[sku]],'risk_tolerance'!A:A,'risk_tolerance'!F:F,"N/A",0)</f>
        <v>Drop</v>
      </c>
    </row>
    <row r="77" spans="1:7" x14ac:dyDescent="0.3">
      <c r="A77" t="s">
        <v>68</v>
      </c>
      <c r="B77">
        <v>7794.24</v>
      </c>
      <c r="C77">
        <v>163.9</v>
      </c>
      <c r="D77" t="s">
        <v>32</v>
      </c>
      <c r="E77">
        <v>47.55</v>
      </c>
      <c r="F77">
        <v>76</v>
      </c>
      <c r="G77" s="20" t="str">
        <f>_xlfn.XLOOKUP(profit_vs_risk_scenario5[[#This Row],[sku]],'risk_tolerance'!A:A,'risk_tolerance'!F:F,"N/A",0)</f>
        <v>Drop</v>
      </c>
    </row>
    <row r="78" spans="1:7" x14ac:dyDescent="0.3">
      <c r="A78" t="s">
        <v>12</v>
      </c>
      <c r="B78">
        <v>9402.2800000000007</v>
      </c>
      <c r="C78">
        <v>197.89</v>
      </c>
      <c r="D78" t="s">
        <v>32</v>
      </c>
      <c r="E78">
        <v>47.51</v>
      </c>
      <c r="F78">
        <v>77</v>
      </c>
      <c r="G78" s="20" t="str">
        <f>_xlfn.XLOOKUP(profit_vs_risk_scenario5[[#This Row],[sku]],'risk_tolerance'!A:A,'risk_tolerance'!F:F,"N/A",0)</f>
        <v>Drop</v>
      </c>
    </row>
    <row r="79" spans="1:7" x14ac:dyDescent="0.3">
      <c r="A79" t="s">
        <v>15</v>
      </c>
      <c r="B79">
        <v>2174.81</v>
      </c>
      <c r="C79">
        <v>47.55</v>
      </c>
      <c r="D79" t="s">
        <v>31</v>
      </c>
      <c r="E79">
        <v>45.74</v>
      </c>
      <c r="F79">
        <v>78</v>
      </c>
      <c r="G79" s="20" t="str">
        <f>_xlfn.XLOOKUP(profit_vs_risk_scenario5[[#This Row],[sku]],'risk_tolerance'!A:A,'risk_tolerance'!F:F,"N/A",0)</f>
        <v>Drop</v>
      </c>
    </row>
    <row r="80" spans="1:7" x14ac:dyDescent="0.3">
      <c r="A80" t="s">
        <v>50</v>
      </c>
      <c r="B80">
        <v>5546.86</v>
      </c>
      <c r="C80">
        <v>125.31</v>
      </c>
      <c r="D80" t="s">
        <v>32</v>
      </c>
      <c r="E80">
        <v>44.27</v>
      </c>
      <c r="F80">
        <v>79</v>
      </c>
      <c r="G80" s="20" t="str">
        <f>_xlfn.XLOOKUP(profit_vs_risk_scenario5[[#This Row],[sku]],'risk_tolerance'!A:A,'risk_tolerance'!F:F,"N/A",0)</f>
        <v>Drop</v>
      </c>
    </row>
    <row r="81" spans="1:7" x14ac:dyDescent="0.3">
      <c r="A81" t="s">
        <v>54</v>
      </c>
      <c r="B81">
        <v>2562.89</v>
      </c>
      <c r="C81">
        <v>57.92</v>
      </c>
      <c r="D81" t="s">
        <v>31</v>
      </c>
      <c r="E81">
        <v>44.25</v>
      </c>
      <c r="F81">
        <v>80</v>
      </c>
      <c r="G81" s="20" t="str">
        <f>_xlfn.XLOOKUP(profit_vs_risk_scenario5[[#This Row],[sku]],'risk_tolerance'!A:A,'risk_tolerance'!F:F,"N/A",0)</f>
        <v>Drop</v>
      </c>
    </row>
    <row r="82" spans="1:7" x14ac:dyDescent="0.3">
      <c r="A82" t="s">
        <v>102</v>
      </c>
      <c r="B82">
        <v>2930.87</v>
      </c>
      <c r="C82">
        <v>68.790000000000006</v>
      </c>
      <c r="D82" t="s">
        <v>31</v>
      </c>
      <c r="E82">
        <v>42.61</v>
      </c>
      <c r="F82">
        <v>81</v>
      </c>
      <c r="G82" s="20" t="str">
        <f>_xlfn.XLOOKUP(profit_vs_risk_scenario5[[#This Row],[sku]],'risk_tolerance'!A:A,'risk_tolerance'!F:F,"N/A",0)</f>
        <v>Drop</v>
      </c>
    </row>
    <row r="83" spans="1:7" x14ac:dyDescent="0.3">
      <c r="A83" t="s">
        <v>90</v>
      </c>
      <c r="B83">
        <v>5886.72</v>
      </c>
      <c r="C83">
        <v>139.29</v>
      </c>
      <c r="D83" t="s">
        <v>32</v>
      </c>
      <c r="E83">
        <v>42.26</v>
      </c>
      <c r="F83">
        <v>82</v>
      </c>
      <c r="G83" s="20" t="str">
        <f>_xlfn.XLOOKUP(profit_vs_risk_scenario5[[#This Row],[sku]],'risk_tolerance'!A:A,'risk_tolerance'!F:F,"N/A",0)</f>
        <v>Drop</v>
      </c>
    </row>
    <row r="84" spans="1:7" x14ac:dyDescent="0.3">
      <c r="A84" t="s">
        <v>3</v>
      </c>
      <c r="B84">
        <v>10881.5</v>
      </c>
      <c r="C84">
        <v>266.97000000000003</v>
      </c>
      <c r="D84" t="s">
        <v>32</v>
      </c>
      <c r="E84">
        <v>40.76</v>
      </c>
      <c r="F84">
        <v>83</v>
      </c>
      <c r="G84" s="20" t="str">
        <f>_xlfn.XLOOKUP(profit_vs_risk_scenario5[[#This Row],[sku]],'risk_tolerance'!A:A,'risk_tolerance'!F:F,"N/A",0)</f>
        <v>Drop</v>
      </c>
    </row>
    <row r="85" spans="1:7" x14ac:dyDescent="0.3">
      <c r="A85" t="s">
        <v>96</v>
      </c>
      <c r="B85">
        <v>6317.44</v>
      </c>
      <c r="C85">
        <v>162.52000000000001</v>
      </c>
      <c r="D85" t="s">
        <v>32</v>
      </c>
      <c r="E85">
        <v>38.869999999999997</v>
      </c>
      <c r="F85">
        <v>84</v>
      </c>
      <c r="G85" s="20" t="str">
        <f>_xlfn.XLOOKUP(profit_vs_risk_scenario5[[#This Row],[sku]],'risk_tolerance'!A:A,'risk_tolerance'!F:F,"N/A",0)</f>
        <v>Drop</v>
      </c>
    </row>
    <row r="86" spans="1:7" x14ac:dyDescent="0.3">
      <c r="A86" t="s">
        <v>13</v>
      </c>
      <c r="B86">
        <v>3351.87</v>
      </c>
      <c r="C86">
        <v>90.02</v>
      </c>
      <c r="D86" t="s">
        <v>31</v>
      </c>
      <c r="E86">
        <v>37.229999999999997</v>
      </c>
      <c r="F86">
        <v>85</v>
      </c>
      <c r="G86" s="20" t="str">
        <f>_xlfn.XLOOKUP(profit_vs_risk_scenario5[[#This Row],[sku]],'risk_tolerance'!A:A,'risk_tolerance'!F:F,"N/A",0)</f>
        <v>Drop</v>
      </c>
    </row>
    <row r="87" spans="1:7" x14ac:dyDescent="0.3">
      <c r="A87" t="s">
        <v>69</v>
      </c>
      <c r="B87">
        <v>8939.3799999999992</v>
      </c>
      <c r="C87">
        <v>252</v>
      </c>
      <c r="D87" t="s">
        <v>32</v>
      </c>
      <c r="E87">
        <v>35.47</v>
      </c>
      <c r="F87">
        <v>86</v>
      </c>
      <c r="G87" s="20" t="str">
        <f>_xlfn.XLOOKUP(profit_vs_risk_scenario5[[#This Row],[sku]],'risk_tolerance'!A:A,'risk_tolerance'!F:F,"N/A",0)</f>
        <v>Drop</v>
      </c>
    </row>
    <row r="88" spans="1:7" x14ac:dyDescent="0.3">
      <c r="A88" t="s">
        <v>75</v>
      </c>
      <c r="B88">
        <v>6379.06</v>
      </c>
      <c r="C88">
        <v>182.6</v>
      </c>
      <c r="D88" t="s">
        <v>32</v>
      </c>
      <c r="E88">
        <v>34.93</v>
      </c>
      <c r="F88">
        <v>87</v>
      </c>
      <c r="G88" s="20" t="str">
        <f>_xlfn.XLOOKUP(profit_vs_risk_scenario5[[#This Row],[sku]],'risk_tolerance'!A:A,'risk_tolerance'!F:F,"N/A",0)</f>
        <v>Drop</v>
      </c>
    </row>
    <row r="89" spans="1:7" x14ac:dyDescent="0.3">
      <c r="A89" t="s">
        <v>52</v>
      </c>
      <c r="B89">
        <v>875.2</v>
      </c>
      <c r="C89">
        <v>26.1</v>
      </c>
      <c r="D89" t="s">
        <v>31</v>
      </c>
      <c r="E89">
        <v>33.53</v>
      </c>
      <c r="F89">
        <v>88</v>
      </c>
      <c r="G89" s="20" t="str">
        <f>_xlfn.XLOOKUP(profit_vs_risk_scenario5[[#This Row],[sku]],'risk_tolerance'!A:A,'risk_tolerance'!F:F,"N/A",0)</f>
        <v>Optimize</v>
      </c>
    </row>
    <row r="90" spans="1:7" x14ac:dyDescent="0.3">
      <c r="A90" t="s">
        <v>18</v>
      </c>
      <c r="B90">
        <v>1937.12</v>
      </c>
      <c r="C90">
        <v>61.04</v>
      </c>
      <c r="D90" t="s">
        <v>31</v>
      </c>
      <c r="E90">
        <v>31.74</v>
      </c>
      <c r="F90">
        <v>89</v>
      </c>
      <c r="G90" s="20" t="str">
        <f>_xlfn.XLOOKUP(profit_vs_risk_scenario5[[#This Row],[sku]],'risk_tolerance'!A:A,'risk_tolerance'!F:F,"N/A",0)</f>
        <v>Drop</v>
      </c>
    </row>
    <row r="91" spans="1:7" x14ac:dyDescent="0.3">
      <c r="A91" t="s">
        <v>76</v>
      </c>
      <c r="B91">
        <v>5999.63</v>
      </c>
      <c r="C91">
        <v>192.17</v>
      </c>
      <c r="D91" t="s">
        <v>32</v>
      </c>
      <c r="E91">
        <v>31.22</v>
      </c>
      <c r="F91">
        <v>90</v>
      </c>
      <c r="G91" s="20" t="str">
        <f>_xlfn.XLOOKUP(profit_vs_risk_scenario5[[#This Row],[sku]],'risk_tolerance'!A:A,'risk_tolerance'!F:F,"N/A",0)</f>
        <v>Drop</v>
      </c>
    </row>
    <row r="92" spans="1:7" x14ac:dyDescent="0.3">
      <c r="A92" t="s">
        <v>14</v>
      </c>
      <c r="B92">
        <v>7108.07</v>
      </c>
      <c r="C92">
        <v>281.54000000000002</v>
      </c>
      <c r="D92" t="s">
        <v>32</v>
      </c>
      <c r="E92">
        <v>25.25</v>
      </c>
      <c r="F92">
        <v>91</v>
      </c>
      <c r="G92" s="20" t="str">
        <f>_xlfn.XLOOKUP(profit_vs_risk_scenario5[[#This Row],[sku]],'risk_tolerance'!A:A,'risk_tolerance'!F:F,"N/A",0)</f>
        <v>Drop</v>
      </c>
    </row>
    <row r="93" spans="1:7" x14ac:dyDescent="0.3">
      <c r="A93" t="s">
        <v>34</v>
      </c>
      <c r="B93">
        <v>5039.2</v>
      </c>
      <c r="C93">
        <v>204.11</v>
      </c>
      <c r="D93" t="s">
        <v>32</v>
      </c>
      <c r="E93">
        <v>24.69</v>
      </c>
      <c r="F93">
        <v>92</v>
      </c>
      <c r="G93" s="20" t="str">
        <f>_xlfn.XLOOKUP(profit_vs_risk_scenario5[[#This Row],[sku]],'risk_tolerance'!A:A,'risk_tolerance'!F:F,"N/A",0)</f>
        <v>Drop</v>
      </c>
    </row>
    <row r="94" spans="1:7" x14ac:dyDescent="0.3">
      <c r="A94" t="s">
        <v>84</v>
      </c>
      <c r="B94">
        <v>1515.51</v>
      </c>
      <c r="C94">
        <v>69.56</v>
      </c>
      <c r="D94" t="s">
        <v>31</v>
      </c>
      <c r="E94">
        <v>21.79</v>
      </c>
      <c r="F94">
        <v>93</v>
      </c>
      <c r="G94" s="20" t="str">
        <f>_xlfn.XLOOKUP(profit_vs_risk_scenario5[[#This Row],[sku]],'risk_tolerance'!A:A,'risk_tolerance'!F:F,"N/A",0)</f>
        <v>Drop</v>
      </c>
    </row>
    <row r="95" spans="1:7" x14ac:dyDescent="0.3">
      <c r="A95" t="s">
        <v>20</v>
      </c>
      <c r="B95">
        <v>3179.74</v>
      </c>
      <c r="C95">
        <v>148.94999999999999</v>
      </c>
      <c r="D95" t="s">
        <v>32</v>
      </c>
      <c r="E95">
        <v>21.35</v>
      </c>
      <c r="F95">
        <v>94</v>
      </c>
      <c r="G95" s="20" t="str">
        <f>_xlfn.XLOOKUP(profit_vs_risk_scenario5[[#This Row],[sku]],'risk_tolerance'!A:A,'risk_tolerance'!F:F,"N/A",0)</f>
        <v>Drop</v>
      </c>
    </row>
    <row r="96" spans="1:7" x14ac:dyDescent="0.3">
      <c r="A96" t="s">
        <v>36</v>
      </c>
      <c r="B96">
        <v>260.13</v>
      </c>
      <c r="C96">
        <v>37.03</v>
      </c>
      <c r="D96" t="s">
        <v>31</v>
      </c>
      <c r="E96">
        <v>7.02</v>
      </c>
      <c r="F96">
        <v>95</v>
      </c>
      <c r="G96" s="20" t="str">
        <f>_xlfn.XLOOKUP(profit_vs_risk_scenario5[[#This Row],[sku]],'risk_tolerance'!A:A,'risk_tolerance'!F:F,"N/A",0)</f>
        <v>Optimize</v>
      </c>
    </row>
    <row r="97" spans="1:7" x14ac:dyDescent="0.3">
      <c r="A97" t="s">
        <v>65</v>
      </c>
      <c r="B97">
        <v>739.29</v>
      </c>
      <c r="C97">
        <v>122.34</v>
      </c>
      <c r="D97" t="s">
        <v>32</v>
      </c>
      <c r="E97">
        <v>6.04</v>
      </c>
      <c r="F97">
        <v>96</v>
      </c>
      <c r="G97" s="20" t="str">
        <f>_xlfn.XLOOKUP(profit_vs_risk_scenario5[[#This Row],[sku]],'risk_tolerance'!A:A,'risk_tolerance'!F:F,"N/A",0)</f>
        <v>Drop</v>
      </c>
    </row>
    <row r="98" spans="1:7" x14ac:dyDescent="0.3">
      <c r="A98" t="s">
        <v>49</v>
      </c>
      <c r="B98">
        <v>818.54</v>
      </c>
      <c r="C98">
        <v>228.86</v>
      </c>
      <c r="D98" t="s">
        <v>32</v>
      </c>
      <c r="E98">
        <v>3.58</v>
      </c>
      <c r="F98">
        <v>97</v>
      </c>
      <c r="G98" s="20" t="str">
        <f>_xlfn.XLOOKUP(profit_vs_risk_scenario5[[#This Row],[sku]],'risk_tolerance'!A:A,'risk_tolerance'!F:F,"N/A",0)</f>
        <v>Drop</v>
      </c>
    </row>
    <row r="99" spans="1:7" x14ac:dyDescent="0.3">
      <c r="A99" t="s">
        <v>4</v>
      </c>
      <c r="B99">
        <v>188.69</v>
      </c>
      <c r="C99">
        <v>111.17</v>
      </c>
      <c r="D99" t="s">
        <v>32</v>
      </c>
      <c r="E99">
        <v>1.7</v>
      </c>
      <c r="F99">
        <v>98</v>
      </c>
      <c r="G99" s="20" t="str">
        <f>_xlfn.XLOOKUP(profit_vs_risk_scenario5[[#This Row],[sku]],'risk_tolerance'!A:A,'risk_tolerance'!F:F,"N/A",0)</f>
        <v>Drop</v>
      </c>
    </row>
    <row r="100" spans="1:7" x14ac:dyDescent="0.3">
      <c r="A100" t="s">
        <v>105</v>
      </c>
      <c r="B100">
        <v>144.94999999999999</v>
      </c>
      <c r="C100">
        <v>128.30000000000001</v>
      </c>
      <c r="D100" t="s">
        <v>32</v>
      </c>
      <c r="E100">
        <v>1.1299999999999999</v>
      </c>
      <c r="F100">
        <v>99</v>
      </c>
      <c r="G100" s="20" t="str">
        <f>_xlfn.XLOOKUP(profit_vs_risk_scenario5[[#This Row],[sku]],'risk_tolerance'!A:A,'risk_tolerance'!F:F,"N/A",0)</f>
        <v>Drop</v>
      </c>
    </row>
    <row r="101" spans="1:7" x14ac:dyDescent="0.3">
      <c r="A101" t="s">
        <v>33</v>
      </c>
      <c r="B101">
        <v>51.81</v>
      </c>
      <c r="C101">
        <v>109.93</v>
      </c>
      <c r="D101" t="s">
        <v>32</v>
      </c>
      <c r="E101">
        <v>0.47</v>
      </c>
      <c r="F101">
        <v>100</v>
      </c>
      <c r="G101" s="20" t="str">
        <f>_xlfn.XLOOKUP(profit_vs_risk_scenario5[[#This Row],[sku]],'risk_tolerance'!A:A,'risk_tolerance'!F:F,"N/A",0)</f>
        <v>Drop</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7B06B8-F8BA-4D0B-92A6-170B9509B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Analysis</vt:lpstr>
      <vt:lpstr>shipping_lead_time</vt:lpstr>
      <vt:lpstr>defect_rate per supplier2</vt:lpstr>
      <vt:lpstr>cost vs profit analysis</vt:lpstr>
      <vt:lpstr>cost vs profit_helper</vt:lpstr>
      <vt:lpstr>risk_tolerance</vt:lpstr>
      <vt:lpstr>profit_vs_risk scenario5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lemuel turan</cp:lastModifiedBy>
  <dcterms:created xsi:type="dcterms:W3CDTF">2015-06-05T18:17:20Z</dcterms:created>
  <dcterms:modified xsi:type="dcterms:W3CDTF">2026-09-15T12:50:51Z</dcterms:modified>
</cp:coreProperties>
</file>